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AquestLlibreDeTreball"/>
  <mc:AlternateContent xmlns:mc="http://schemas.openxmlformats.org/markup-compatibility/2006">
    <mc:Choice Requires="x15">
      <x15ac:absPath xmlns:x15ac="http://schemas.microsoft.com/office/spreadsheetml/2010/11/ac" url="/Users/olcraig/Downloads/"/>
    </mc:Choice>
  </mc:AlternateContent>
  <xr:revisionPtr revIDLastSave="0" documentId="8_{50FC6ED4-7F8C-9842-ACD2-37F2F8D70DC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HUMAN" sheetId="30" r:id="rId1"/>
  </sheets>
  <definedNames>
    <definedName name="_xlnm._FilterDatabase" localSheetId="0" hidden="1">HUMAN!$A$1:$AJ$536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6" i="30" l="1"/>
  <c r="V536" i="30"/>
  <c r="U536" i="30"/>
  <c r="Q536" i="30"/>
  <c r="W523" i="30"/>
  <c r="U523" i="30"/>
  <c r="V523" i="30"/>
  <c r="Q523" i="30"/>
  <c r="W522" i="30"/>
  <c r="U522" i="30"/>
  <c r="V522" i="30"/>
  <c r="Q522" i="30"/>
  <c r="W521" i="30"/>
  <c r="U521" i="30"/>
  <c r="V521" i="30"/>
  <c r="Q521" i="30"/>
  <c r="W520" i="30"/>
  <c r="U520" i="30"/>
  <c r="V520" i="30"/>
  <c r="Q520" i="30"/>
  <c r="W519" i="30"/>
  <c r="U519" i="30"/>
  <c r="V519" i="30"/>
  <c r="Q519" i="30"/>
  <c r="W518" i="30"/>
  <c r="U518" i="30"/>
  <c r="V518" i="30"/>
  <c r="Q518" i="30"/>
  <c r="W517" i="30"/>
  <c r="U517" i="30"/>
  <c r="V517" i="30"/>
  <c r="Q517" i="30"/>
  <c r="W516" i="30"/>
  <c r="U516" i="30"/>
  <c r="V516" i="30"/>
  <c r="Q516" i="30"/>
  <c r="W515" i="30"/>
  <c r="U515" i="30"/>
  <c r="V515" i="30"/>
  <c r="Q515" i="30"/>
  <c r="W514" i="30"/>
  <c r="U514" i="30"/>
  <c r="V514" i="30"/>
  <c r="Q514" i="30"/>
  <c r="W513" i="30"/>
  <c r="U513" i="30"/>
  <c r="V513" i="30"/>
  <c r="Q513" i="30"/>
  <c r="W512" i="30"/>
  <c r="U512" i="30"/>
  <c r="V512" i="30"/>
  <c r="Q512" i="30"/>
  <c r="W511" i="30"/>
  <c r="U511" i="30"/>
  <c r="V511" i="30"/>
  <c r="Q511" i="30"/>
  <c r="W510" i="30"/>
  <c r="U510" i="30"/>
  <c r="V510" i="30"/>
  <c r="Q510" i="30"/>
  <c r="W509" i="30"/>
  <c r="U509" i="30"/>
  <c r="V509" i="30"/>
  <c r="Q509" i="30"/>
  <c r="W508" i="30"/>
  <c r="U508" i="30"/>
  <c r="V508" i="30"/>
  <c r="Q508" i="30"/>
  <c r="W498" i="30"/>
  <c r="U498" i="30"/>
  <c r="V498" i="30"/>
  <c r="Q498" i="30"/>
  <c r="W497" i="30"/>
  <c r="U497" i="30"/>
  <c r="V497" i="30"/>
  <c r="Q497" i="30"/>
  <c r="W496" i="30"/>
  <c r="U496" i="30"/>
  <c r="V496" i="30"/>
  <c r="Q496" i="30"/>
  <c r="W495" i="30"/>
  <c r="U495" i="30"/>
  <c r="V495" i="30"/>
  <c r="Q495" i="30"/>
  <c r="W494" i="30"/>
  <c r="U494" i="30"/>
  <c r="V494" i="30"/>
  <c r="Q494" i="30"/>
  <c r="W493" i="30"/>
  <c r="U493" i="30"/>
  <c r="V493" i="30"/>
  <c r="Q493" i="30"/>
  <c r="W492" i="30"/>
  <c r="U492" i="30"/>
  <c r="V492" i="30"/>
  <c r="Q492" i="30"/>
  <c r="W491" i="30"/>
  <c r="U491" i="30"/>
  <c r="V491" i="30"/>
  <c r="Q491" i="30"/>
  <c r="W490" i="30"/>
  <c r="U490" i="30"/>
  <c r="V490" i="30"/>
  <c r="Q490" i="30"/>
  <c r="W489" i="30"/>
  <c r="U489" i="30"/>
  <c r="V489" i="30"/>
  <c r="Q489" i="30"/>
  <c r="W488" i="30"/>
  <c r="U488" i="30"/>
  <c r="V488" i="30"/>
  <c r="Q488" i="30"/>
  <c r="W487" i="30"/>
  <c r="U487" i="30"/>
  <c r="V487" i="30"/>
  <c r="Q487" i="30"/>
  <c r="W486" i="30"/>
  <c r="U486" i="30"/>
  <c r="V486" i="30"/>
  <c r="Q486" i="30"/>
  <c r="W435" i="30"/>
  <c r="U435" i="30"/>
  <c r="V435" i="30"/>
  <c r="Q435" i="30"/>
  <c r="W434" i="30"/>
  <c r="U434" i="30"/>
  <c r="V434" i="30"/>
  <c r="Q434" i="30"/>
  <c r="W433" i="30"/>
  <c r="U433" i="30"/>
  <c r="V433" i="30"/>
  <c r="Q433" i="30"/>
  <c r="W432" i="30"/>
  <c r="U432" i="30"/>
  <c r="V432" i="30"/>
  <c r="Q432" i="30"/>
  <c r="W431" i="30"/>
  <c r="U431" i="30"/>
  <c r="V431" i="30"/>
  <c r="Q431" i="30"/>
  <c r="W430" i="30"/>
  <c r="U430" i="30"/>
  <c r="V430" i="30"/>
  <c r="Q430" i="30"/>
  <c r="W429" i="30"/>
  <c r="U429" i="30"/>
  <c r="V429" i="30"/>
  <c r="Q429" i="30"/>
  <c r="W428" i="30"/>
  <c r="U428" i="30"/>
  <c r="V428" i="30"/>
  <c r="Q428" i="30"/>
  <c r="W427" i="30"/>
  <c r="U427" i="30"/>
  <c r="V427" i="30"/>
  <c r="Q427" i="30"/>
  <c r="W426" i="30"/>
  <c r="U426" i="30"/>
  <c r="V426" i="30"/>
  <c r="Q426" i="30"/>
  <c r="W425" i="30"/>
  <c r="U425" i="30"/>
  <c r="V425" i="30"/>
  <c r="Q425" i="30"/>
  <c r="W424" i="30"/>
  <c r="U424" i="30"/>
  <c r="V424" i="30"/>
  <c r="Q424" i="30"/>
  <c r="W423" i="30"/>
  <c r="U423" i="30"/>
  <c r="V423" i="30"/>
  <c r="Q423" i="30"/>
  <c r="W422" i="30"/>
  <c r="U422" i="30"/>
  <c r="V422" i="30"/>
  <c r="Q422" i="30"/>
  <c r="W421" i="30"/>
  <c r="U421" i="30"/>
  <c r="V421" i="30"/>
  <c r="Q421" i="30"/>
  <c r="W420" i="30"/>
  <c r="U420" i="30"/>
  <c r="V420" i="30"/>
  <c r="Q420" i="30"/>
  <c r="W419" i="30"/>
  <c r="U419" i="30"/>
  <c r="V419" i="30"/>
  <c r="Q419" i="30"/>
  <c r="W418" i="30"/>
  <c r="U418" i="30"/>
  <c r="V418" i="30"/>
  <c r="Q418" i="30"/>
  <c r="W417" i="30"/>
  <c r="U417" i="30"/>
  <c r="V417" i="30"/>
  <c r="Q417" i="30"/>
  <c r="W416" i="30"/>
  <c r="U416" i="30"/>
  <c r="V416" i="30"/>
  <c r="Q416" i="30"/>
  <c r="W415" i="30"/>
  <c r="U415" i="30"/>
  <c r="V415" i="30"/>
  <c r="Q415" i="30"/>
  <c r="W414" i="30"/>
  <c r="U414" i="30"/>
  <c r="V414" i="30"/>
  <c r="Q414" i="30"/>
  <c r="W413" i="30"/>
  <c r="U413" i="30"/>
  <c r="V413" i="30"/>
  <c r="Q413" i="30"/>
  <c r="W412" i="30"/>
  <c r="U412" i="30"/>
  <c r="V412" i="30"/>
  <c r="Q412" i="30"/>
  <c r="W411" i="30"/>
  <c r="U411" i="30"/>
  <c r="V411" i="30"/>
  <c r="Q411" i="30"/>
  <c r="W410" i="30"/>
  <c r="U410" i="30"/>
  <c r="V410" i="30"/>
  <c r="Q410" i="30"/>
  <c r="W409" i="30"/>
  <c r="U409" i="30"/>
  <c r="V409" i="30"/>
  <c r="Q409" i="30"/>
  <c r="W408" i="30"/>
  <c r="U408" i="30"/>
  <c r="V408" i="30"/>
  <c r="Q408" i="30"/>
  <c r="W407" i="30"/>
  <c r="U407" i="30"/>
  <c r="V407" i="30"/>
  <c r="Q407" i="30"/>
  <c r="W406" i="30"/>
  <c r="U406" i="30"/>
  <c r="V406" i="30"/>
  <c r="Q406" i="30"/>
  <c r="W405" i="30"/>
  <c r="U405" i="30"/>
  <c r="V405" i="30"/>
  <c r="Q405" i="30"/>
  <c r="W404" i="30"/>
  <c r="U404" i="30"/>
  <c r="V404" i="30"/>
  <c r="Q404" i="30"/>
  <c r="W403" i="30"/>
  <c r="U403" i="30"/>
  <c r="V403" i="30"/>
  <c r="Q403" i="30"/>
  <c r="W402" i="30"/>
  <c r="U402" i="30"/>
  <c r="V402" i="30"/>
  <c r="Q402" i="30"/>
  <c r="W401" i="30"/>
  <c r="U401" i="30"/>
  <c r="V401" i="30"/>
  <c r="Q401" i="30"/>
  <c r="W400" i="30"/>
  <c r="U400" i="30"/>
  <c r="V400" i="30"/>
  <c r="Q400" i="30"/>
  <c r="W399" i="30"/>
  <c r="U399" i="30"/>
  <c r="V399" i="30"/>
  <c r="Q399" i="30"/>
  <c r="W398" i="30"/>
  <c r="U398" i="30"/>
  <c r="V398" i="30"/>
  <c r="Q398" i="30"/>
  <c r="W397" i="30"/>
  <c r="U397" i="30"/>
  <c r="V397" i="30"/>
  <c r="Q397" i="30"/>
  <c r="W396" i="30"/>
  <c r="U396" i="30"/>
  <c r="V396" i="30"/>
  <c r="Q396" i="30"/>
  <c r="W395" i="30"/>
  <c r="U395" i="30"/>
  <c r="V395" i="30"/>
  <c r="Q395" i="30"/>
  <c r="W394" i="30"/>
  <c r="U394" i="30"/>
  <c r="V394" i="30"/>
  <c r="Q394" i="30"/>
  <c r="W393" i="30"/>
  <c r="U393" i="30"/>
  <c r="V393" i="30"/>
  <c r="Q393" i="30"/>
  <c r="W392" i="30"/>
  <c r="U392" i="30"/>
  <c r="V392" i="30"/>
  <c r="Q392" i="30"/>
  <c r="W391" i="30"/>
  <c r="U391" i="30"/>
  <c r="V391" i="30"/>
  <c r="Q391" i="30"/>
  <c r="W390" i="30"/>
  <c r="U390" i="30"/>
  <c r="V390" i="30"/>
  <c r="Q390" i="30"/>
  <c r="W389" i="30"/>
  <c r="U389" i="30"/>
  <c r="V389" i="30"/>
  <c r="Q389" i="30"/>
  <c r="W388" i="30"/>
  <c r="U388" i="30"/>
  <c r="V388" i="30"/>
  <c r="Q388" i="30"/>
  <c r="W351" i="30"/>
  <c r="U351" i="30"/>
  <c r="V351" i="30"/>
  <c r="Q351" i="30"/>
  <c r="W350" i="30"/>
  <c r="U350" i="30"/>
  <c r="V350" i="30"/>
  <c r="Q350" i="30"/>
  <c r="W349" i="30"/>
  <c r="U349" i="30"/>
  <c r="V349" i="30"/>
  <c r="Q349" i="30"/>
  <c r="W348" i="30"/>
  <c r="U348" i="30"/>
  <c r="V348" i="30"/>
  <c r="Q348" i="30"/>
  <c r="W347" i="30"/>
  <c r="U347" i="30"/>
  <c r="V347" i="30"/>
  <c r="Q347" i="30"/>
  <c r="W311" i="30"/>
  <c r="U311" i="30"/>
  <c r="V311" i="30"/>
  <c r="Q311" i="30"/>
  <c r="W310" i="30"/>
  <c r="U310" i="30"/>
  <c r="V310" i="30"/>
  <c r="Q310" i="30"/>
  <c r="W309" i="30"/>
  <c r="U309" i="30"/>
  <c r="V309" i="30"/>
  <c r="Q309" i="30"/>
  <c r="W308" i="30"/>
  <c r="U308" i="30"/>
  <c r="V308" i="30"/>
  <c r="Q308" i="30"/>
  <c r="W307" i="30"/>
  <c r="U307" i="30"/>
  <c r="V307" i="30"/>
  <c r="Q307" i="30"/>
  <c r="W306" i="30"/>
  <c r="U306" i="30"/>
  <c r="V306" i="30"/>
  <c r="Q306" i="30"/>
  <c r="W305" i="30"/>
  <c r="U305" i="30"/>
  <c r="V305" i="30"/>
  <c r="Q305" i="30"/>
  <c r="W304" i="30"/>
  <c r="U304" i="30"/>
  <c r="V304" i="30"/>
  <c r="Q304" i="30"/>
  <c r="W303" i="30"/>
  <c r="U303" i="30"/>
  <c r="V303" i="30"/>
  <c r="Q303" i="30"/>
  <c r="W302" i="30"/>
  <c r="U302" i="30"/>
  <c r="V302" i="30"/>
  <c r="Q302" i="30"/>
  <c r="W301" i="30"/>
  <c r="U301" i="30"/>
  <c r="V301" i="30"/>
  <c r="Q301" i="30"/>
  <c r="W300" i="30"/>
  <c r="U300" i="30"/>
  <c r="V300" i="30"/>
  <c r="Q300" i="30"/>
  <c r="W299" i="30"/>
  <c r="U299" i="30"/>
  <c r="V299" i="30"/>
  <c r="Q299" i="30"/>
  <c r="W298" i="30"/>
  <c r="U298" i="30"/>
  <c r="V298" i="30"/>
  <c r="Q298" i="30"/>
  <c r="W297" i="30"/>
  <c r="U297" i="30"/>
  <c r="V297" i="30"/>
  <c r="Q297" i="30"/>
  <c r="W296" i="30"/>
  <c r="U296" i="30"/>
  <c r="V296" i="30"/>
  <c r="Q296" i="30"/>
  <c r="W218" i="30"/>
  <c r="U218" i="30"/>
  <c r="V218" i="30"/>
  <c r="Q218" i="30"/>
  <c r="W217" i="30"/>
  <c r="U217" i="30"/>
  <c r="V217" i="30"/>
  <c r="Q217" i="30"/>
  <c r="W216" i="30"/>
  <c r="U216" i="30"/>
  <c r="V216" i="30"/>
  <c r="Q216" i="30"/>
  <c r="W215" i="30"/>
  <c r="U215" i="30"/>
  <c r="V215" i="30"/>
  <c r="Q215" i="30"/>
  <c r="W214" i="30"/>
  <c r="U214" i="30"/>
  <c r="V214" i="30"/>
  <c r="Q214" i="30"/>
  <c r="W213" i="30"/>
  <c r="U213" i="30"/>
  <c r="V213" i="30"/>
  <c r="Q213" i="30"/>
  <c r="W212" i="30"/>
  <c r="U212" i="30"/>
  <c r="V212" i="30"/>
  <c r="Q212" i="30"/>
  <c r="W211" i="30"/>
  <c r="U211" i="30"/>
  <c r="V211" i="30"/>
  <c r="Q211" i="30"/>
  <c r="W210" i="30"/>
  <c r="U210" i="30"/>
  <c r="V210" i="30"/>
  <c r="Q210" i="30"/>
  <c r="W209" i="30"/>
  <c r="U209" i="30"/>
  <c r="V209" i="30"/>
  <c r="Q209" i="30"/>
  <c r="W208" i="30"/>
  <c r="U208" i="30"/>
  <c r="V208" i="30"/>
  <c r="Q208" i="30"/>
  <c r="W207" i="30"/>
  <c r="U207" i="30"/>
  <c r="V207" i="30"/>
  <c r="Q207" i="30"/>
  <c r="W206" i="30"/>
  <c r="U206" i="30"/>
  <c r="V206" i="30"/>
  <c r="Q206" i="30"/>
  <c r="W205" i="30"/>
  <c r="U205" i="30"/>
  <c r="V205" i="30"/>
  <c r="Q205" i="30"/>
  <c r="W204" i="30"/>
  <c r="U204" i="30"/>
  <c r="V204" i="30"/>
  <c r="Q204" i="30"/>
  <c r="W203" i="30"/>
  <c r="U203" i="30"/>
  <c r="V203" i="30"/>
  <c r="Q203" i="30"/>
  <c r="W202" i="30"/>
  <c r="U202" i="30"/>
  <c r="V202" i="30"/>
  <c r="Q202" i="30"/>
  <c r="W201" i="30"/>
  <c r="U201" i="30"/>
  <c r="V201" i="30"/>
  <c r="Q201" i="30"/>
  <c r="W200" i="30"/>
  <c r="U200" i="30"/>
  <c r="V200" i="30"/>
  <c r="Q200" i="30"/>
  <c r="W199" i="30"/>
  <c r="U199" i="30"/>
  <c r="V199" i="30"/>
  <c r="Q199" i="30"/>
  <c r="W198" i="30"/>
  <c r="U198" i="30"/>
  <c r="V198" i="30"/>
  <c r="Q198" i="30"/>
  <c r="W197" i="30"/>
  <c r="U197" i="30"/>
  <c r="V197" i="30"/>
  <c r="Q197" i="30"/>
  <c r="W196" i="30"/>
  <c r="U196" i="30"/>
  <c r="V196" i="30"/>
  <c r="Q196" i="30"/>
  <c r="W195" i="30"/>
  <c r="U195" i="30"/>
  <c r="V195" i="30"/>
  <c r="Q195" i="30"/>
  <c r="W194" i="30"/>
  <c r="U194" i="30"/>
  <c r="V194" i="30"/>
  <c r="Q194" i="30"/>
  <c r="W193" i="30"/>
  <c r="U193" i="30"/>
  <c r="V193" i="30"/>
  <c r="Q193" i="30"/>
  <c r="W192" i="30"/>
  <c r="U192" i="30"/>
  <c r="V192" i="30"/>
  <c r="Q192" i="30"/>
  <c r="W191" i="30"/>
  <c r="U191" i="30"/>
  <c r="V191" i="30"/>
  <c r="Q191" i="30"/>
  <c r="W190" i="30"/>
  <c r="U190" i="30"/>
  <c r="V190" i="30"/>
  <c r="Q190" i="30"/>
  <c r="W189" i="30"/>
  <c r="U189" i="30"/>
  <c r="V189" i="30"/>
  <c r="Q189" i="30"/>
  <c r="W188" i="30"/>
  <c r="U188" i="30"/>
  <c r="V188" i="30"/>
  <c r="Q188" i="30"/>
  <c r="W187" i="30"/>
  <c r="U187" i="30"/>
  <c r="V187" i="30"/>
  <c r="Q187" i="30"/>
  <c r="W186" i="30"/>
  <c r="U186" i="30"/>
  <c r="V186" i="30"/>
  <c r="Q186" i="30"/>
  <c r="W185" i="30"/>
  <c r="U185" i="30"/>
  <c r="V185" i="30"/>
  <c r="Q185" i="30"/>
  <c r="W184" i="30"/>
  <c r="U184" i="30"/>
  <c r="V184" i="30"/>
  <c r="Q184" i="30"/>
  <c r="W183" i="30"/>
  <c r="U183" i="30"/>
  <c r="V183" i="30"/>
  <c r="Q183" i="30"/>
  <c r="W182" i="30"/>
  <c r="U182" i="30"/>
  <c r="V182" i="30"/>
  <c r="Q182" i="30"/>
  <c r="W181" i="30"/>
  <c r="U181" i="30"/>
  <c r="V181" i="30"/>
  <c r="Q181" i="30"/>
  <c r="W180" i="30"/>
  <c r="U180" i="30"/>
  <c r="V180" i="30"/>
  <c r="Q180" i="30"/>
  <c r="W179" i="30"/>
  <c r="U179" i="30"/>
  <c r="V179" i="30"/>
  <c r="Q179" i="30"/>
  <c r="W178" i="30"/>
  <c r="U178" i="30"/>
  <c r="V178" i="30"/>
  <c r="Q178" i="30"/>
  <c r="W177" i="30"/>
  <c r="U177" i="30"/>
  <c r="V177" i="30"/>
  <c r="Q177" i="30"/>
  <c r="W176" i="30"/>
  <c r="U176" i="30"/>
  <c r="V176" i="30"/>
  <c r="Q176" i="30"/>
  <c r="W175" i="30"/>
  <c r="U175" i="30"/>
  <c r="V175" i="30"/>
  <c r="Q175" i="30"/>
  <c r="W174" i="30"/>
  <c r="U174" i="30"/>
  <c r="V174" i="30"/>
  <c r="Q174" i="30"/>
  <c r="W173" i="30"/>
  <c r="U173" i="30"/>
  <c r="V173" i="30"/>
  <c r="Q173" i="30"/>
  <c r="W172" i="30"/>
  <c r="U172" i="30"/>
  <c r="V172" i="30"/>
  <c r="Q172" i="30"/>
  <c r="W171" i="30"/>
  <c r="U171" i="30"/>
  <c r="V171" i="30"/>
  <c r="Q171" i="30"/>
  <c r="W170" i="30"/>
  <c r="U170" i="30"/>
  <c r="V170" i="30"/>
  <c r="Q170" i="30"/>
  <c r="W169" i="30"/>
  <c r="U169" i="30"/>
  <c r="V169" i="30"/>
  <c r="Q169" i="30"/>
  <c r="W168" i="30"/>
  <c r="U168" i="30"/>
  <c r="V168" i="30"/>
  <c r="Q168" i="30"/>
  <c r="W167" i="30"/>
  <c r="U167" i="30"/>
  <c r="V167" i="30"/>
  <c r="Q167" i="30"/>
  <c r="W166" i="30"/>
  <c r="U166" i="30"/>
  <c r="V166" i="30"/>
  <c r="Q166" i="30"/>
  <c r="W165" i="30"/>
  <c r="U165" i="30"/>
  <c r="V165" i="30"/>
  <c r="Q165" i="30"/>
  <c r="W164" i="30"/>
  <c r="U164" i="30"/>
  <c r="V164" i="30"/>
  <c r="Q164" i="30"/>
  <c r="W163" i="30"/>
  <c r="U163" i="30"/>
  <c r="V163" i="30"/>
  <c r="Q163" i="30"/>
  <c r="W162" i="30"/>
  <c r="U162" i="30"/>
  <c r="V162" i="30"/>
  <c r="Q162" i="30"/>
  <c r="W161" i="30"/>
  <c r="U161" i="30"/>
  <c r="V161" i="30"/>
  <c r="Q161" i="30"/>
  <c r="W160" i="30"/>
  <c r="U160" i="30"/>
  <c r="V160" i="30"/>
  <c r="Q160" i="30"/>
  <c r="W159" i="30"/>
  <c r="U159" i="30"/>
  <c r="V159" i="30"/>
  <c r="Q159" i="30"/>
  <c r="W158" i="30"/>
  <c r="U158" i="30"/>
  <c r="V158" i="30"/>
  <c r="Q158" i="30"/>
  <c r="W157" i="30"/>
  <c r="U157" i="30"/>
  <c r="V157" i="30"/>
  <c r="Q157" i="30"/>
  <c r="W156" i="30"/>
  <c r="U156" i="30"/>
  <c r="V156" i="30"/>
  <c r="Q156" i="30"/>
  <c r="W155" i="30"/>
  <c r="U155" i="30"/>
  <c r="V155" i="30"/>
  <c r="Q155" i="30"/>
  <c r="W154" i="30"/>
  <c r="U154" i="30"/>
  <c r="V154" i="30"/>
  <c r="Q154" i="30"/>
  <c r="W153" i="30"/>
  <c r="U153" i="30"/>
  <c r="V153" i="30"/>
  <c r="Q153" i="30"/>
  <c r="W152" i="30"/>
  <c r="U152" i="30"/>
  <c r="V152" i="30"/>
  <c r="Q152" i="30"/>
  <c r="W151" i="30"/>
  <c r="U151" i="30"/>
  <c r="V151" i="30"/>
  <c r="Q151" i="30"/>
  <c r="W150" i="30"/>
  <c r="U150" i="30"/>
  <c r="V150" i="30"/>
  <c r="Q150" i="30"/>
  <c r="W149" i="30"/>
  <c r="U149" i="30"/>
  <c r="V149" i="30"/>
  <c r="Q149" i="30"/>
  <c r="W148" i="30"/>
  <c r="U148" i="30"/>
  <c r="V148" i="30"/>
  <c r="Q148" i="30"/>
  <c r="W147" i="30"/>
  <c r="U147" i="30"/>
  <c r="V147" i="30"/>
  <c r="Q147" i="30"/>
  <c r="W146" i="30"/>
  <c r="U146" i="30"/>
  <c r="V146" i="30"/>
  <c r="Q146" i="30"/>
  <c r="W145" i="30"/>
  <c r="U145" i="30"/>
  <c r="V145" i="30"/>
  <c r="Q145" i="30"/>
  <c r="W144" i="30"/>
  <c r="U144" i="30"/>
  <c r="V144" i="30"/>
  <c r="Q144" i="30"/>
  <c r="W143" i="30"/>
  <c r="U143" i="30"/>
  <c r="V143" i="30"/>
  <c r="Q143" i="30"/>
  <c r="W142" i="30"/>
  <c r="U142" i="30"/>
  <c r="V142" i="30"/>
  <c r="Q142" i="30"/>
  <c r="W141" i="30"/>
  <c r="U141" i="30"/>
  <c r="V141" i="30"/>
  <c r="Q141" i="30"/>
  <c r="W140" i="30"/>
  <c r="U140" i="30"/>
  <c r="V140" i="30"/>
  <c r="Q140" i="30"/>
  <c r="W139" i="30"/>
  <c r="U139" i="30"/>
  <c r="V139" i="30"/>
  <c r="Q139" i="30"/>
  <c r="W136" i="30"/>
  <c r="U136" i="30"/>
  <c r="V136" i="30"/>
  <c r="Q136" i="30"/>
  <c r="W135" i="30"/>
  <c r="U135" i="30"/>
  <c r="V135" i="30"/>
  <c r="Q135" i="30"/>
  <c r="W134" i="30"/>
  <c r="U134" i="30"/>
  <c r="V134" i="30"/>
  <c r="Q134" i="30"/>
  <c r="W133" i="30"/>
  <c r="U133" i="30"/>
  <c r="V133" i="30"/>
  <c r="Q133" i="30"/>
  <c r="W132" i="30"/>
  <c r="U132" i="30"/>
  <c r="V132" i="30"/>
  <c r="Q132" i="30"/>
  <c r="W113" i="30"/>
  <c r="U113" i="30"/>
  <c r="V113" i="30"/>
  <c r="Q113" i="30"/>
  <c r="W112" i="30"/>
  <c r="U112" i="30"/>
  <c r="V112" i="30"/>
  <c r="Q112" i="30"/>
  <c r="W111" i="30"/>
  <c r="U111" i="30"/>
  <c r="V111" i="30"/>
  <c r="Q111" i="30"/>
  <c r="W110" i="30"/>
  <c r="U110" i="30"/>
  <c r="V110" i="30"/>
  <c r="Q110" i="30"/>
  <c r="W109" i="30"/>
  <c r="U109" i="30"/>
  <c r="V109" i="30"/>
  <c r="Q109" i="30"/>
  <c r="W108" i="30"/>
  <c r="U108" i="30"/>
  <c r="V108" i="30"/>
  <c r="Q108" i="30"/>
  <c r="W107" i="30"/>
  <c r="U107" i="30"/>
  <c r="V107" i="30"/>
  <c r="Q107" i="30"/>
  <c r="W106" i="30"/>
  <c r="U106" i="30"/>
  <c r="V106" i="30"/>
  <c r="Q106" i="30"/>
  <c r="W105" i="30"/>
  <c r="U105" i="30"/>
  <c r="V105" i="30"/>
  <c r="Q105" i="30"/>
  <c r="W104" i="30"/>
  <c r="U104" i="30"/>
  <c r="V104" i="30"/>
  <c r="Q104" i="30"/>
  <c r="W103" i="30"/>
  <c r="U103" i="30"/>
  <c r="V103" i="30"/>
  <c r="Q103" i="30"/>
  <c r="W102" i="30"/>
  <c r="U102" i="30"/>
  <c r="V102" i="30"/>
  <c r="Q102" i="30"/>
  <c r="W101" i="30"/>
  <c r="U101" i="30"/>
  <c r="V101" i="30"/>
  <c r="Q101" i="30"/>
  <c r="W100" i="30"/>
  <c r="U100" i="30"/>
  <c r="V100" i="30"/>
  <c r="Q100" i="30"/>
  <c r="W97" i="30"/>
  <c r="U97" i="30"/>
  <c r="V97" i="30"/>
  <c r="Q97" i="30"/>
  <c r="W96" i="30"/>
  <c r="U96" i="30"/>
  <c r="V96" i="30"/>
  <c r="Q96" i="30"/>
  <c r="W95" i="30"/>
  <c r="U95" i="30"/>
  <c r="V95" i="30"/>
  <c r="Q95" i="30"/>
  <c r="W89" i="30"/>
  <c r="U89" i="30"/>
  <c r="V89" i="30"/>
  <c r="Q89" i="30"/>
  <c r="W88" i="30"/>
  <c r="U88" i="30"/>
  <c r="V88" i="30"/>
  <c r="Q88" i="30"/>
  <c r="W87" i="30"/>
  <c r="U87" i="30"/>
  <c r="V87" i="30"/>
  <c r="Q87" i="30"/>
  <c r="W86" i="30"/>
  <c r="U86" i="30"/>
  <c r="V86" i="30"/>
  <c r="Q86" i="30"/>
  <c r="W85" i="30"/>
  <c r="U85" i="30"/>
  <c r="V85" i="30"/>
  <c r="Q85" i="30"/>
  <c r="W84" i="30"/>
  <c r="U84" i="30"/>
  <c r="V84" i="30"/>
  <c r="Q84" i="30"/>
  <c r="W83" i="30"/>
  <c r="U83" i="30"/>
  <c r="V83" i="30"/>
  <c r="Q83" i="30"/>
  <c r="W82" i="30"/>
  <c r="U82" i="30"/>
  <c r="V82" i="30"/>
  <c r="Q82" i="30"/>
  <c r="W81" i="30"/>
  <c r="U81" i="30"/>
  <c r="V81" i="30"/>
  <c r="Q81" i="30"/>
  <c r="W80" i="30"/>
  <c r="U80" i="30"/>
  <c r="V80" i="30"/>
  <c r="Q80" i="30"/>
  <c r="W79" i="30"/>
  <c r="U79" i="30"/>
  <c r="V79" i="30"/>
  <c r="Q79" i="30"/>
  <c r="W78" i="30"/>
  <c r="U78" i="30"/>
  <c r="V78" i="30"/>
  <c r="Q78" i="30"/>
  <c r="W77" i="30"/>
  <c r="U77" i="30"/>
  <c r="V77" i="30"/>
  <c r="Q77" i="30"/>
  <c r="W76" i="30"/>
  <c r="U76" i="30"/>
  <c r="V76" i="30"/>
  <c r="Q76" i="30"/>
  <c r="W75" i="30"/>
  <c r="U75" i="30"/>
  <c r="V75" i="30"/>
  <c r="Q75" i="30"/>
  <c r="W74" i="30"/>
  <c r="U74" i="30"/>
  <c r="V74" i="30"/>
  <c r="Q74" i="30"/>
  <c r="W73" i="30"/>
  <c r="U73" i="30"/>
  <c r="V73" i="30"/>
  <c r="Q73" i="30"/>
  <c r="W72" i="30"/>
  <c r="U72" i="30"/>
  <c r="V72" i="30"/>
  <c r="Q72" i="30"/>
  <c r="W71" i="30"/>
  <c r="U71" i="30"/>
  <c r="V71" i="30"/>
  <c r="Q71" i="30"/>
  <c r="W70" i="30"/>
  <c r="U70" i="30"/>
  <c r="V70" i="30"/>
  <c r="Q70" i="30"/>
  <c r="W69" i="30"/>
  <c r="U69" i="30"/>
  <c r="V69" i="30"/>
  <c r="Q69" i="30"/>
  <c r="W68" i="30"/>
  <c r="U68" i="30"/>
  <c r="V68" i="30"/>
  <c r="Q68" i="30"/>
  <c r="W67" i="30"/>
  <c r="U67" i="30"/>
  <c r="V67" i="30"/>
  <c r="Q67" i="30"/>
  <c r="W66" i="30"/>
  <c r="U66" i="30"/>
  <c r="V66" i="30"/>
  <c r="Q66" i="30"/>
  <c r="W65" i="30"/>
  <c r="U65" i="30"/>
  <c r="V65" i="30"/>
  <c r="Q65" i="30"/>
  <c r="W64" i="30"/>
  <c r="U64" i="30"/>
  <c r="V64" i="30"/>
  <c r="Q64" i="30"/>
  <c r="W63" i="30"/>
  <c r="U63" i="30"/>
  <c r="V63" i="30"/>
  <c r="Q63" i="30"/>
  <c r="W56" i="30"/>
  <c r="U56" i="30"/>
  <c r="V56" i="30"/>
  <c r="Q56" i="30"/>
  <c r="W55" i="30"/>
  <c r="U55" i="30"/>
  <c r="V55" i="30"/>
  <c r="Q55" i="30"/>
  <c r="W54" i="30"/>
  <c r="U54" i="30"/>
  <c r="V54" i="30"/>
  <c r="Q54" i="30"/>
  <c r="W53" i="30"/>
  <c r="U53" i="30"/>
  <c r="V53" i="30"/>
  <c r="Q53" i="30"/>
  <c r="W52" i="30"/>
  <c r="U52" i="30"/>
  <c r="V52" i="30"/>
  <c r="Q52" i="30"/>
  <c r="W51" i="30"/>
  <c r="U51" i="30"/>
  <c r="V51" i="30"/>
  <c r="Q51" i="30"/>
  <c r="W50" i="30"/>
  <c r="U50" i="30"/>
  <c r="V50" i="30"/>
  <c r="Q50" i="30"/>
  <c r="W49" i="30"/>
  <c r="U49" i="30"/>
  <c r="V49" i="30"/>
  <c r="Q49" i="30"/>
  <c r="W48" i="30"/>
  <c r="U48" i="30"/>
  <c r="V48" i="30"/>
  <c r="Q48" i="30"/>
  <c r="W47" i="30"/>
  <c r="U47" i="30"/>
  <c r="V47" i="30"/>
  <c r="Q47" i="30"/>
  <c r="W46" i="30"/>
  <c r="U46" i="30"/>
  <c r="V46" i="30"/>
  <c r="Q46" i="30"/>
  <c r="W45" i="30"/>
  <c r="U45" i="30"/>
  <c r="V45" i="30"/>
  <c r="Q45" i="30"/>
  <c r="W44" i="30"/>
  <c r="U44" i="30"/>
  <c r="V44" i="30"/>
  <c r="Q44" i="30"/>
  <c r="W43" i="30"/>
  <c r="U43" i="30"/>
  <c r="V43" i="30"/>
  <c r="Q43" i="30"/>
  <c r="W42" i="30"/>
  <c r="U42" i="30"/>
  <c r="V42" i="30"/>
  <c r="Q42" i="30"/>
  <c r="W41" i="30"/>
  <c r="U41" i="30"/>
  <c r="V41" i="30"/>
  <c r="Q41" i="30"/>
  <c r="W40" i="30"/>
  <c r="U40" i="30"/>
  <c r="V40" i="30"/>
  <c r="Q40" i="30"/>
  <c r="W39" i="30"/>
  <c r="U39" i="30"/>
  <c r="V39" i="30"/>
  <c r="Q39" i="30"/>
  <c r="W3" i="30"/>
  <c r="U3" i="30"/>
  <c r="V3" i="30"/>
  <c r="Q3" i="30"/>
  <c r="W2" i="30"/>
  <c r="U2" i="30"/>
  <c r="V2" i="30"/>
  <c r="Q2" i="30"/>
</calcChain>
</file>

<file path=xl/sharedStrings.xml><?xml version="1.0" encoding="utf-8"?>
<sst xmlns="http://schemas.openxmlformats.org/spreadsheetml/2006/main" count="3676" uniqueCount="893">
  <si>
    <t>Site</t>
  </si>
  <si>
    <t>Morro do Peralta</t>
  </si>
  <si>
    <t>Galheta IV</t>
  </si>
  <si>
    <t>Morro do Ouro</t>
  </si>
  <si>
    <t>Itacoara</t>
  </si>
  <si>
    <t>Piaçaguera</t>
  </si>
  <si>
    <t>Moraes</t>
  </si>
  <si>
    <t>Armação da Piedade 01</t>
  </si>
  <si>
    <t>-28,56</t>
  </si>
  <si>
    <t>-48,79</t>
  </si>
  <si>
    <t>Guaraguaçu</t>
  </si>
  <si>
    <t>Ezee filtering</t>
  </si>
  <si>
    <t>SUERC</t>
  </si>
  <si>
    <t>ISO</t>
  </si>
  <si>
    <t>Ultrafiltration</t>
  </si>
  <si>
    <t>Barra do Sul</t>
  </si>
  <si>
    <t>Conquista</t>
  </si>
  <si>
    <t>Costeira</t>
  </si>
  <si>
    <t>Espinheiros II</t>
  </si>
  <si>
    <t>Ilha dos Espinheiros II</t>
  </si>
  <si>
    <t>unknown</t>
  </si>
  <si>
    <t>Praia da Tapera</t>
  </si>
  <si>
    <t>LAT</t>
  </si>
  <si>
    <t>LONG</t>
  </si>
  <si>
    <t>TRD_1181</t>
  </si>
  <si>
    <t>AP1-A1</t>
  </si>
  <si>
    <t>N</t>
  </si>
  <si>
    <t>Cranium</t>
  </si>
  <si>
    <r>
      <t>Arma</t>
    </r>
    <r>
      <rPr>
        <sz val="11"/>
        <rFont val="DengXian"/>
        <family val="4"/>
        <charset val="134"/>
      </rPr>
      <t>ç</t>
    </r>
    <r>
      <rPr>
        <sz val="11"/>
        <rFont val="Calibri"/>
        <family val="2"/>
      </rPr>
      <t>ão do Sul</t>
    </r>
  </si>
  <si>
    <t>TRD_1</t>
  </si>
  <si>
    <t>ARM1</t>
  </si>
  <si>
    <t>Rib</t>
  </si>
  <si>
    <t>Young adult</t>
  </si>
  <si>
    <t>Male</t>
  </si>
  <si>
    <t>33,12</t>
  </si>
  <si>
    <t>12,85</t>
  </si>
  <si>
    <t>Old Adult</t>
  </si>
  <si>
    <t>38,24</t>
  </si>
  <si>
    <t>14,89</t>
  </si>
  <si>
    <t>42,46</t>
  </si>
  <si>
    <t>16,55</t>
  </si>
  <si>
    <t>Adult</t>
  </si>
  <si>
    <t>Female</t>
  </si>
  <si>
    <t>cranium</t>
  </si>
  <si>
    <t>32,25</t>
  </si>
  <si>
    <t>12,32</t>
  </si>
  <si>
    <t>41,27</t>
  </si>
  <si>
    <t>16,34</t>
  </si>
  <si>
    <t>41,1</t>
  </si>
  <si>
    <t>16,33</t>
  </si>
  <si>
    <t>39,45</t>
  </si>
  <si>
    <t>15,78</t>
  </si>
  <si>
    <t>39,67</t>
  </si>
  <si>
    <t>15,22</t>
  </si>
  <si>
    <t>38,86</t>
  </si>
  <si>
    <t>15,55</t>
  </si>
  <si>
    <t>38,34</t>
  </si>
  <si>
    <t>15,29</t>
  </si>
  <si>
    <t>40,54</t>
  </si>
  <si>
    <t>16,25</t>
  </si>
  <si>
    <t>39,81</t>
  </si>
  <si>
    <t>15,83</t>
  </si>
  <si>
    <t>Phalanx</t>
  </si>
  <si>
    <t>39,06</t>
  </si>
  <si>
    <t>15,7</t>
  </si>
  <si>
    <t>36,39</t>
  </si>
  <si>
    <t>13,65</t>
  </si>
  <si>
    <t>38,92</t>
  </si>
  <si>
    <t>15,97</t>
  </si>
  <si>
    <t>37,66</t>
  </si>
  <si>
    <t>15,35</t>
  </si>
  <si>
    <t>36,92</t>
  </si>
  <si>
    <t>14,52</t>
  </si>
  <si>
    <t>37,69</t>
  </si>
  <si>
    <t>14,8</t>
  </si>
  <si>
    <t>34,16</t>
  </si>
  <si>
    <t>13,74</t>
  </si>
  <si>
    <t>NA</t>
  </si>
  <si>
    <t>36,07</t>
  </si>
  <si>
    <t>14,19</t>
  </si>
  <si>
    <t>37,36</t>
  </si>
  <si>
    <t>14,92</t>
  </si>
  <si>
    <t>39,23</t>
  </si>
  <si>
    <t>15,19</t>
  </si>
  <si>
    <t>Humerus</t>
  </si>
  <si>
    <t>36,55</t>
  </si>
  <si>
    <t>14,9</t>
  </si>
  <si>
    <t>36,97</t>
  </si>
  <si>
    <t>14,84</t>
  </si>
  <si>
    <t>37,49</t>
  </si>
  <si>
    <t>Fibula</t>
  </si>
  <si>
    <t>37,71</t>
  </si>
  <si>
    <t>15,28</t>
  </si>
  <si>
    <t>Possible female</t>
  </si>
  <si>
    <t>Long bone</t>
  </si>
  <si>
    <t>36,85</t>
  </si>
  <si>
    <t>14,63</t>
  </si>
  <si>
    <t>38,28</t>
  </si>
  <si>
    <t>15,62</t>
  </si>
  <si>
    <t>38,38</t>
  </si>
  <si>
    <t>15,39</t>
  </si>
  <si>
    <t>39,1</t>
  </si>
  <si>
    <t>15,81</t>
  </si>
  <si>
    <t>39,07</t>
  </si>
  <si>
    <t>15,08</t>
  </si>
  <si>
    <t>36,35</t>
  </si>
  <si>
    <t>14,46</t>
  </si>
  <si>
    <t>37,4</t>
  </si>
  <si>
    <t>15,09</t>
  </si>
  <si>
    <t>41,79</t>
  </si>
  <si>
    <t>16,43</t>
  </si>
  <si>
    <t>36,27</t>
  </si>
  <si>
    <t>14,24</t>
  </si>
  <si>
    <t>Babitonga Bay (Provenance unknown)</t>
  </si>
  <si>
    <t>TRD_363</t>
  </si>
  <si>
    <t>DB050</t>
  </si>
  <si>
    <t>?</t>
  </si>
  <si>
    <t>TRD_379</t>
  </si>
  <si>
    <t>IA26B</t>
  </si>
  <si>
    <t>TRD_386</t>
  </si>
  <si>
    <t>2450b</t>
  </si>
  <si>
    <t>TRD_373</t>
  </si>
  <si>
    <t>IA141</t>
  </si>
  <si>
    <t xml:space="preserve">Cranium </t>
  </si>
  <si>
    <t>TRD_374</t>
  </si>
  <si>
    <t>IA60</t>
  </si>
  <si>
    <t>TRD_426</t>
  </si>
  <si>
    <t>IA129 8990</t>
  </si>
  <si>
    <t>TRD_451</t>
  </si>
  <si>
    <t>IA132 GT</t>
  </si>
  <si>
    <t>Maxilla</t>
  </si>
  <si>
    <t>TRD_454</t>
  </si>
  <si>
    <t>SN1</t>
  </si>
  <si>
    <t>TRD_455</t>
  </si>
  <si>
    <t>IA130 8631</t>
  </si>
  <si>
    <t>Cabeçuda 01</t>
  </si>
  <si>
    <t>TRD_657</t>
  </si>
  <si>
    <t>Burial 3</t>
  </si>
  <si>
    <t>SC-LGN-02, QC4-5, N9 (07/12/2016)</t>
  </si>
  <si>
    <t>Infant (ca. 9 yrs)</t>
  </si>
  <si>
    <t>TRD_658</t>
  </si>
  <si>
    <t>Burial 5</t>
  </si>
  <si>
    <t>SC-LGN-02, QD2, N7 (07/12/2016)</t>
  </si>
  <si>
    <t>Adult (ca. 20 yrs)</t>
  </si>
  <si>
    <t>TRD_659</t>
  </si>
  <si>
    <t>Burial 6</t>
  </si>
  <si>
    <t>SC-LGN-02, QE2, N16 (07/12/2016)</t>
  </si>
  <si>
    <t>Adult (ca. 20-30 yrs)</t>
  </si>
  <si>
    <t>TRD_660</t>
  </si>
  <si>
    <t>Burial 7</t>
  </si>
  <si>
    <t>SC-LGN-02, QF3-4, N13 (07/12/2016)</t>
  </si>
  <si>
    <t>TRD_662</t>
  </si>
  <si>
    <t>Burial 13</t>
  </si>
  <si>
    <t>SC-LGN-02, QD4-5, N16 (07/12/2016)</t>
  </si>
  <si>
    <t>Infant (ca. 12 yrs)</t>
  </si>
  <si>
    <t>TRD_663</t>
  </si>
  <si>
    <t>Burial 11</t>
  </si>
  <si>
    <t>SC-LGN-02, QD5-6, N11 (07/12/2016)</t>
  </si>
  <si>
    <t>Adult  (ca. 20 yrs)</t>
  </si>
  <si>
    <t>TRD_664</t>
  </si>
  <si>
    <t>Burial 12</t>
  </si>
  <si>
    <t>TRD_665</t>
  </si>
  <si>
    <t>Burial 15</t>
  </si>
  <si>
    <t>SC-LGN-02, QF1-2,G1-2, N13 (07/12/2016)</t>
  </si>
  <si>
    <t>Adult  (ca. 30 yrs)</t>
  </si>
  <si>
    <t>TRD_666</t>
  </si>
  <si>
    <t>Burial 16</t>
  </si>
  <si>
    <t>SC-LGN-02, QE1, N12 (07/12/2016)</t>
  </si>
  <si>
    <t>39,03</t>
  </si>
  <si>
    <t>13,26</t>
  </si>
  <si>
    <t>37,26</t>
  </si>
  <si>
    <t>12,51</t>
  </si>
  <si>
    <t>Femur</t>
  </si>
  <si>
    <t>39,09</t>
  </si>
  <si>
    <t>12,89</t>
  </si>
  <si>
    <t>39,7</t>
  </si>
  <si>
    <t>13,07</t>
  </si>
  <si>
    <t>Tibia</t>
  </si>
  <si>
    <t>40,23</t>
  </si>
  <si>
    <t>13,18</t>
  </si>
  <si>
    <t>40,71</t>
  </si>
  <si>
    <t>Congonhas I</t>
  </si>
  <si>
    <t>TRD_1182</t>
  </si>
  <si>
    <t>CON_A1</t>
  </si>
  <si>
    <t>TRD_1183</t>
  </si>
  <si>
    <t>CON_A2</t>
  </si>
  <si>
    <t>TRD_1184</t>
  </si>
  <si>
    <t>CON_A3</t>
  </si>
  <si>
    <t>TRD_51</t>
  </si>
  <si>
    <t>CONG6</t>
  </si>
  <si>
    <t>TRD_52</t>
  </si>
  <si>
    <t>CONG12</t>
  </si>
  <si>
    <t>TRD_53</t>
  </si>
  <si>
    <t>CONG13</t>
  </si>
  <si>
    <t>TRD_54</t>
  </si>
  <si>
    <t>CONG4014</t>
  </si>
  <si>
    <t>TRD_55</t>
  </si>
  <si>
    <t>CONG8</t>
  </si>
  <si>
    <t>TRD_392</t>
  </si>
  <si>
    <t>IA55 8377</t>
  </si>
  <si>
    <t>Juvenile</t>
  </si>
  <si>
    <t>TRD_393</t>
  </si>
  <si>
    <t xml:space="preserve"> pct. 1, cx. 1</t>
  </si>
  <si>
    <t>TRD_395</t>
  </si>
  <si>
    <t>IA43 IA56 7823</t>
  </si>
  <si>
    <t>TRD_396</t>
  </si>
  <si>
    <t>IA77 8374</t>
  </si>
  <si>
    <t>Sphenoid</t>
  </si>
  <si>
    <t>TRD_398</t>
  </si>
  <si>
    <t>IA78 7364</t>
  </si>
  <si>
    <t>TRD_458</t>
  </si>
  <si>
    <t>I22 5270</t>
  </si>
  <si>
    <t>Enseada I</t>
  </si>
  <si>
    <t>TRD_422</t>
  </si>
  <si>
    <t>8664b</t>
  </si>
  <si>
    <t>Y</t>
  </si>
  <si>
    <t>Horizon C</t>
  </si>
  <si>
    <t>Infant</t>
  </si>
  <si>
    <t xml:space="preserve">Rib </t>
  </si>
  <si>
    <t>TRD_423</t>
  </si>
  <si>
    <t>Horizon C, layer 1, 110 cm depth</t>
  </si>
  <si>
    <t>TRD_424</t>
  </si>
  <si>
    <t>IA95 8623</t>
  </si>
  <si>
    <t>Horizon C, 60 cm depth</t>
  </si>
  <si>
    <t>TRD_425</t>
  </si>
  <si>
    <t>Horizon C, 35 cm depth (no grave goods)</t>
  </si>
  <si>
    <t>TRD_427</t>
  </si>
  <si>
    <t>IA40 8531</t>
  </si>
  <si>
    <t>Horizon C, 30 cm depth (ceramic, 2 machado de pedra e 2 seixos planos as grave good)</t>
  </si>
  <si>
    <t>Skull</t>
  </si>
  <si>
    <t>TRD_428</t>
  </si>
  <si>
    <t>IA39 8529</t>
  </si>
  <si>
    <t>Horizon C, layer 1, 120 cm depth</t>
  </si>
  <si>
    <t>Zygomatic bone</t>
  </si>
  <si>
    <t>TRD_429</t>
  </si>
  <si>
    <t>IA126 8634</t>
  </si>
  <si>
    <t>Horizon C, 50 cm depth (treze vertebras de tubarao, e 8 pedras lavadas, pedras lisas para polainar)</t>
  </si>
  <si>
    <t>TRD_431</t>
  </si>
  <si>
    <t>IA8 8534</t>
  </si>
  <si>
    <t>Horizon C, layer 1, 25 cm depth</t>
  </si>
  <si>
    <t>TRD_432</t>
  </si>
  <si>
    <t>Horizon C, 20 cm depth</t>
  </si>
  <si>
    <t>TRD_433</t>
  </si>
  <si>
    <t>Mandible</t>
  </si>
  <si>
    <t>TRD_434</t>
  </si>
  <si>
    <t>TRD_435</t>
  </si>
  <si>
    <t>IA15 8661</t>
  </si>
  <si>
    <t>Horizon C, layer 1, 45 cm depth, osso de anta</t>
  </si>
  <si>
    <t>TRD_436</t>
  </si>
  <si>
    <t>Horizon C, 30 cm depth, close to a whale bone</t>
  </si>
  <si>
    <t>32,18</t>
  </si>
  <si>
    <t>Radius</t>
  </si>
  <si>
    <t>34,84</t>
  </si>
  <si>
    <t>14,83</t>
  </si>
  <si>
    <t>38,01</t>
  </si>
  <si>
    <t>13,86</t>
  </si>
  <si>
    <t>40,47</t>
  </si>
  <si>
    <t>14,81</t>
  </si>
  <si>
    <t>Possible male</t>
  </si>
  <si>
    <t>39,28</t>
  </si>
  <si>
    <t>14,02</t>
  </si>
  <si>
    <t>Espinheiros</t>
  </si>
  <si>
    <t>TRD_57</t>
  </si>
  <si>
    <t>ESP2</t>
  </si>
  <si>
    <t>TRD_58</t>
  </si>
  <si>
    <t>ESP1</t>
  </si>
  <si>
    <t>TRD_59</t>
  </si>
  <si>
    <t>ESP3</t>
  </si>
  <si>
    <t>36,1</t>
  </si>
  <si>
    <t>13,24</t>
  </si>
  <si>
    <t>38,74</t>
  </si>
  <si>
    <t>13,97</t>
  </si>
  <si>
    <t>Fortaleza de Santo Antonio de Ratones</t>
  </si>
  <si>
    <t>TRD_62</t>
  </si>
  <si>
    <t>D5</t>
  </si>
  <si>
    <t>Forte Marechal Luz</t>
  </si>
  <si>
    <t>Burial 10</t>
  </si>
  <si>
    <t>Burial 30</t>
  </si>
  <si>
    <t>Occipital bone</t>
  </si>
  <si>
    <t>Burial 4</t>
  </si>
  <si>
    <t>Burial 26</t>
  </si>
  <si>
    <t>Burial 52</t>
  </si>
  <si>
    <t>Burial 56</t>
  </si>
  <si>
    <t>Burial 23</t>
  </si>
  <si>
    <t>Burial 37</t>
  </si>
  <si>
    <t>Burial 1</t>
  </si>
  <si>
    <t>Burial 48</t>
  </si>
  <si>
    <t>F11</t>
  </si>
  <si>
    <t>Dentine</t>
  </si>
  <si>
    <t>F11B</t>
  </si>
  <si>
    <t>F23</t>
  </si>
  <si>
    <t>F32</t>
  </si>
  <si>
    <t>F36</t>
  </si>
  <si>
    <t>F43</t>
  </si>
  <si>
    <t>F6</t>
  </si>
  <si>
    <t>41,73</t>
  </si>
  <si>
    <t>13,5</t>
  </si>
  <si>
    <t>42,13</t>
  </si>
  <si>
    <t>41,77</t>
  </si>
  <si>
    <t>13,56</t>
  </si>
  <si>
    <t>40,68</t>
  </si>
  <si>
    <t>13,12</t>
  </si>
  <si>
    <t>43,59</t>
  </si>
  <si>
    <t>15,53</t>
  </si>
  <si>
    <t>40,97</t>
  </si>
  <si>
    <t>14,68</t>
  </si>
  <si>
    <t>41,4</t>
  </si>
  <si>
    <t>13,44</t>
  </si>
  <si>
    <t>41,83</t>
  </si>
  <si>
    <t>15,02</t>
  </si>
  <si>
    <t>Scapula</t>
  </si>
  <si>
    <t>43,16</t>
  </si>
  <si>
    <t>GIV1</t>
  </si>
  <si>
    <t>GIV5</t>
  </si>
  <si>
    <t>GIV6</t>
  </si>
  <si>
    <t>GIV9</t>
  </si>
  <si>
    <t>Burial 9</t>
  </si>
  <si>
    <t>GIV4</t>
  </si>
  <si>
    <t>2 </t>
  </si>
  <si>
    <t>I</t>
  </si>
  <si>
    <t>31.0 </t>
  </si>
  <si>
    <t>10.4 </t>
  </si>
  <si>
    <t>3,5 </t>
  </si>
  <si>
    <t>7 </t>
  </si>
  <si>
    <t>42.4 </t>
  </si>
  <si>
    <t>15.3 </t>
  </si>
  <si>
    <t>3,2 </t>
  </si>
  <si>
    <t>Gamboa (possibly 30)</t>
  </si>
  <si>
    <t>TRD_456</t>
  </si>
  <si>
    <t>IA134 3429</t>
  </si>
  <si>
    <t>TRD_459</t>
  </si>
  <si>
    <t>TRD_177</t>
  </si>
  <si>
    <t>GUA6</t>
  </si>
  <si>
    <t>Radio</t>
  </si>
  <si>
    <t>TRD_178</t>
  </si>
  <si>
    <t>GUA2657</t>
  </si>
  <si>
    <t>TRD_181</t>
  </si>
  <si>
    <t>GUA600114</t>
  </si>
  <si>
    <t>TRD_182</t>
  </si>
  <si>
    <t>GUA580620</t>
  </si>
  <si>
    <t>Cranium, rib, fibula</t>
  </si>
  <si>
    <t>TRD_183</t>
  </si>
  <si>
    <t>GUA265713</t>
  </si>
  <si>
    <t>TRD_185</t>
  </si>
  <si>
    <t>GUA580610</t>
  </si>
  <si>
    <t>Cranium, femur, long bone</t>
  </si>
  <si>
    <t>TRD_186</t>
  </si>
  <si>
    <t>GUA580618</t>
  </si>
  <si>
    <t>TRD_188</t>
  </si>
  <si>
    <t>GUA58013</t>
  </si>
  <si>
    <t>TRD_190</t>
  </si>
  <si>
    <t>GUA58012</t>
  </si>
  <si>
    <t>TRD_191</t>
  </si>
  <si>
    <t>GUA58063</t>
  </si>
  <si>
    <t>TRD_195</t>
  </si>
  <si>
    <t>GUA580619</t>
  </si>
  <si>
    <t>Long bone, fibula</t>
  </si>
  <si>
    <t>TRD_197</t>
  </si>
  <si>
    <t>GUA58031</t>
  </si>
  <si>
    <t>TRD_198</t>
  </si>
  <si>
    <t>GUA600113</t>
  </si>
  <si>
    <t>Mandible, rib</t>
  </si>
  <si>
    <t>TRD_201</t>
  </si>
  <si>
    <t>GUA58011</t>
  </si>
  <si>
    <t>TRD_203</t>
  </si>
  <si>
    <t>GUA19571</t>
  </si>
  <si>
    <t>Mandible, Dental calculus, tooth</t>
  </si>
  <si>
    <t>TRD_209</t>
  </si>
  <si>
    <t>GUA57048</t>
  </si>
  <si>
    <t>TRD_210</t>
  </si>
  <si>
    <t>GUA580611</t>
  </si>
  <si>
    <t>Rib, fibula</t>
  </si>
  <si>
    <t>TRD_211</t>
  </si>
  <si>
    <t>GUA580615</t>
  </si>
  <si>
    <t>TRD_212</t>
  </si>
  <si>
    <t>GUA580616</t>
  </si>
  <si>
    <t>Cranium, fibula</t>
  </si>
  <si>
    <t>TRD_215</t>
  </si>
  <si>
    <t>GUA265711</t>
  </si>
  <si>
    <t>TRD_216</t>
  </si>
  <si>
    <t>GUA265712</t>
  </si>
  <si>
    <t>TRD_223</t>
  </si>
  <si>
    <t>GUA580612</t>
  </si>
  <si>
    <t>Tibia, Juvenile</t>
  </si>
  <si>
    <t>TRD_229</t>
  </si>
  <si>
    <t>GUA58063A</t>
  </si>
  <si>
    <t>TRD_230</t>
  </si>
  <si>
    <t>GUA58061B</t>
  </si>
  <si>
    <t>TRD_231</t>
  </si>
  <si>
    <t>GUA57054</t>
  </si>
  <si>
    <t>TRD_234</t>
  </si>
  <si>
    <t>GUA58069</t>
  </si>
  <si>
    <t>TRD_238</t>
  </si>
  <si>
    <t>GUA580617</t>
  </si>
  <si>
    <t>TRD_239</t>
  </si>
  <si>
    <t>GUA58064</t>
  </si>
  <si>
    <t>TRD_242</t>
  </si>
  <si>
    <t>GUA60012</t>
  </si>
  <si>
    <t>TRD_249</t>
  </si>
  <si>
    <t>GUA60013</t>
  </si>
  <si>
    <t>TRD_251</t>
  </si>
  <si>
    <t>GUA61066</t>
  </si>
  <si>
    <t>TRD_253</t>
  </si>
  <si>
    <t>GUA610120</t>
  </si>
  <si>
    <t>TRD_254</t>
  </si>
  <si>
    <t>GUA62016</t>
  </si>
  <si>
    <t>TRD_255</t>
  </si>
  <si>
    <t>GUA62017</t>
  </si>
  <si>
    <t>TRD_256</t>
  </si>
  <si>
    <t>GUA62013</t>
  </si>
  <si>
    <t>TRD_257</t>
  </si>
  <si>
    <t>GUA62018</t>
  </si>
  <si>
    <t>Femur, rib</t>
  </si>
  <si>
    <t>TRD_258</t>
  </si>
  <si>
    <t>GUA600115</t>
  </si>
  <si>
    <t>TRD_260</t>
  </si>
  <si>
    <t>GUA61015</t>
  </si>
  <si>
    <t>TRD_263</t>
  </si>
  <si>
    <t>GUA61017</t>
  </si>
  <si>
    <t>TRD_265</t>
  </si>
  <si>
    <t>GUA610121</t>
  </si>
  <si>
    <t>TRD_266</t>
  </si>
  <si>
    <t>GUA61014</t>
  </si>
  <si>
    <t>TRD_269</t>
  </si>
  <si>
    <t>GUA610113</t>
  </si>
  <si>
    <t>TRD_271</t>
  </si>
  <si>
    <t>GUA62011</t>
  </si>
  <si>
    <t>Rib, long bone</t>
  </si>
  <si>
    <t>TRD_438</t>
  </si>
  <si>
    <t>IESP3</t>
  </si>
  <si>
    <t>TRD_439</t>
  </si>
  <si>
    <t>IESP9</t>
  </si>
  <si>
    <t>TRD_440</t>
  </si>
  <si>
    <t>IESP 5D</t>
  </si>
  <si>
    <t>TRD_441</t>
  </si>
  <si>
    <t>IESP2</t>
  </si>
  <si>
    <t>TRD_442</t>
  </si>
  <si>
    <t>IESP6</t>
  </si>
  <si>
    <t>TRD_443</t>
  </si>
  <si>
    <t>IESP10</t>
  </si>
  <si>
    <t>TRD_444</t>
  </si>
  <si>
    <t>IESP1</t>
  </si>
  <si>
    <t>TRD_445</t>
  </si>
  <si>
    <t>IESP8</t>
  </si>
  <si>
    <t>TRD_446</t>
  </si>
  <si>
    <t>IESP4</t>
  </si>
  <si>
    <t>TRD_447</t>
  </si>
  <si>
    <t>IESP7</t>
  </si>
  <si>
    <t>TRD_448</t>
  </si>
  <si>
    <t>IESP5</t>
  </si>
  <si>
    <t>TRD_349</t>
  </si>
  <si>
    <t>Sector PT1. 1C, squares 3 and 4, 10/20 cm (excavation Dione Bandeira)</t>
  </si>
  <si>
    <t>TRD_352</t>
  </si>
  <si>
    <t>Sector PT1. 1A, squares 2 and 3, Sector PT1. 2A, squares 1 and 2, 20/50 cm (excavation Dione Bandeira)</t>
  </si>
  <si>
    <t>TRD_355</t>
  </si>
  <si>
    <t>IT5541 ro11 (possible Burial 2)</t>
  </si>
  <si>
    <t>Sector PT1.2A, 30-40 cm, layer 4 (excavation Dione Bandeira)</t>
  </si>
  <si>
    <t>TRD_356</t>
  </si>
  <si>
    <t>DB ro04</t>
  </si>
  <si>
    <t>Sector PT1. 0B, no context, few fragments of long bones and skull, 10 -20 cm (excavation Dione Bandeira)</t>
  </si>
  <si>
    <t>TRD_357</t>
  </si>
  <si>
    <t>Burial 2</t>
  </si>
  <si>
    <t>Sector PT1. 2A, squares 1 and 4, Sector PT1. 2Z, square 4, 30/50 cm (excavation Dione Bandeira)</t>
  </si>
  <si>
    <t>TRD_358</t>
  </si>
  <si>
    <t>Skeleton 1 7334 (possible Burial 1)</t>
  </si>
  <si>
    <t>Sector PT1.3Z, 0-2 cm, layer 1 (excavation Dione Bandeira)</t>
  </si>
  <si>
    <t>TRD_359</t>
  </si>
  <si>
    <t>Ro03</t>
  </si>
  <si>
    <t>Surface collection, no context, few fragments of skull, ribs, femur (excavation Dione Bandeira)</t>
  </si>
  <si>
    <t>TRD_361</t>
  </si>
  <si>
    <t>Sector PT1. 1B, square 3, 20/30 cm  (excavation Dione Bandeira)</t>
  </si>
  <si>
    <t>TRD_362</t>
  </si>
  <si>
    <t>PT1B ro05</t>
  </si>
  <si>
    <t>Sector PT1. 1B, no context, fragments of long bones (excavation Dione Bandeira)</t>
  </si>
  <si>
    <t>TRD_364</t>
  </si>
  <si>
    <t>IA80 2444</t>
  </si>
  <si>
    <t>GT book - Skull (excavation Gulherme Tiburtius)</t>
  </si>
  <si>
    <t>TRD_365</t>
  </si>
  <si>
    <t>GT book - Skull found at 100 cm depth (excavation Gulherme Tiburtius)</t>
  </si>
  <si>
    <t>TRD_366</t>
  </si>
  <si>
    <t>IA26 2435</t>
  </si>
  <si>
    <t>TRD_368</t>
  </si>
  <si>
    <t>IA13 3368</t>
  </si>
  <si>
    <t>GT book - Skull found at 60 cm depth (excavation Gulherme Tiburtius)</t>
  </si>
  <si>
    <t>TRD_371</t>
  </si>
  <si>
    <t>3367-A</t>
  </si>
  <si>
    <t>GT book - Found with 3367 (excavation Gulherme Tiburtius)</t>
  </si>
  <si>
    <t>TRD_372</t>
  </si>
  <si>
    <t>I21</t>
  </si>
  <si>
    <t>GT book - Possibly IA 21 (excavation Gulherme Tiburtius)</t>
  </si>
  <si>
    <t>TRD_377</t>
  </si>
  <si>
    <t>I21 2442</t>
  </si>
  <si>
    <t>TRD_380</t>
  </si>
  <si>
    <t>IA31 2443</t>
  </si>
  <si>
    <t>TRD_381</t>
  </si>
  <si>
    <t>IA29 2441</t>
  </si>
  <si>
    <t>TRD_382</t>
  </si>
  <si>
    <t>IA86a 2447</t>
  </si>
  <si>
    <t>GT book - infant skull(excavation Gulherme Tiburtius)</t>
  </si>
  <si>
    <t>TRD_383</t>
  </si>
  <si>
    <t>IA12 2438</t>
  </si>
  <si>
    <t>TRD_384</t>
  </si>
  <si>
    <t>GT book - an almost complete skeleton (excavation Gulherme Tiburtius)</t>
  </si>
  <si>
    <t>TRD_385</t>
  </si>
  <si>
    <t>TRD_387</t>
  </si>
  <si>
    <t>GT book - found at 100 cm depth (excavation Gulherme Tiburtius)</t>
  </si>
  <si>
    <t>TRD_388</t>
  </si>
  <si>
    <t>IA116 2624</t>
  </si>
  <si>
    <t>Jabuticabeira II</t>
  </si>
  <si>
    <t>13,8</t>
  </si>
  <si>
    <t>14,2</t>
  </si>
  <si>
    <t>3,3</t>
  </si>
  <si>
    <t>13,3</t>
  </si>
  <si>
    <t>42,1</t>
  </si>
  <si>
    <t>14,7</t>
  </si>
  <si>
    <t>13,2</t>
  </si>
  <si>
    <t>14,6</t>
  </si>
  <si>
    <t>Laranjeiras I</t>
  </si>
  <si>
    <t>Ulna</t>
  </si>
  <si>
    <t>41,7</t>
  </si>
  <si>
    <t>14,99</t>
  </si>
  <si>
    <t>3,25</t>
  </si>
  <si>
    <t>40,49</t>
  </si>
  <si>
    <t>14,67</t>
  </si>
  <si>
    <t>3,23</t>
  </si>
  <si>
    <t>39,17</t>
  </si>
  <si>
    <t>13,89</t>
  </si>
  <si>
    <t>3,30</t>
  </si>
  <si>
    <t>13,66</t>
  </si>
  <si>
    <t>3,40</t>
  </si>
  <si>
    <t>38,04</t>
  </si>
  <si>
    <t>13,78</t>
  </si>
  <si>
    <t>39,56</t>
  </si>
  <si>
    <t>3,21</t>
  </si>
  <si>
    <t>39,44</t>
  </si>
  <si>
    <t>14,33</t>
  </si>
  <si>
    <t>3,22</t>
  </si>
  <si>
    <t>41,23</t>
  </si>
  <si>
    <t>3,44</t>
  </si>
  <si>
    <t>40,26</t>
  </si>
  <si>
    <t>14,41</t>
  </si>
  <si>
    <t>3,26</t>
  </si>
  <si>
    <t>Praia das Laranjeiras II</t>
  </si>
  <si>
    <t>41,69</t>
  </si>
  <si>
    <t>14,17</t>
  </si>
  <si>
    <t>42,17</t>
  </si>
  <si>
    <t>14,34</t>
  </si>
  <si>
    <t>40,06</t>
  </si>
  <si>
    <t>14,76</t>
  </si>
  <si>
    <t>3,17</t>
  </si>
  <si>
    <t>40,29</t>
  </si>
  <si>
    <t>13,63</t>
  </si>
  <si>
    <t>3,46</t>
  </si>
  <si>
    <t>42,14</t>
  </si>
  <si>
    <t>14,28</t>
  </si>
  <si>
    <t>3,45</t>
  </si>
  <si>
    <t>39,01</t>
  </si>
  <si>
    <t>14,01</t>
  </si>
  <si>
    <t>41,36</t>
  </si>
  <si>
    <t>14,1</t>
  </si>
  <si>
    <t>3,39</t>
  </si>
  <si>
    <t>13,76</t>
  </si>
  <si>
    <t>3,49</t>
  </si>
  <si>
    <t>41,68</t>
  </si>
  <si>
    <t>13,96</t>
  </si>
  <si>
    <t>3,50</t>
  </si>
  <si>
    <t>39,94</t>
  </si>
  <si>
    <t>14,38</t>
  </si>
  <si>
    <t>40,07</t>
  </si>
  <si>
    <t>14,47</t>
  </si>
  <si>
    <t>3,24</t>
  </si>
  <si>
    <t>41,43</t>
  </si>
  <si>
    <t>13,85</t>
  </si>
  <si>
    <t>3,51</t>
  </si>
  <si>
    <t>40,73</t>
  </si>
  <si>
    <t>38,82</t>
  </si>
  <si>
    <t>14,15</t>
  </si>
  <si>
    <t>40,57</t>
  </si>
  <si>
    <t>13,59</t>
  </si>
  <si>
    <t>Linguado</t>
  </si>
  <si>
    <t>TRD_417</t>
  </si>
  <si>
    <t>I70 2089</t>
  </si>
  <si>
    <t>TRD_418</t>
  </si>
  <si>
    <t>IA74 4115</t>
  </si>
  <si>
    <t>Vertebra</t>
  </si>
  <si>
    <t>TRD_420</t>
  </si>
  <si>
    <t>IA118 2887</t>
  </si>
  <si>
    <t>TRD_421</t>
  </si>
  <si>
    <t>I118 2887</t>
  </si>
  <si>
    <t>TRD_348</t>
  </si>
  <si>
    <t>TRD_176</t>
  </si>
  <si>
    <t>MAT1</t>
  </si>
  <si>
    <t>TRD_336</t>
  </si>
  <si>
    <t>I85 1882</t>
  </si>
  <si>
    <t>TRD_337</t>
  </si>
  <si>
    <t>IA63 1779</t>
  </si>
  <si>
    <t>TRD_338</t>
  </si>
  <si>
    <t>IA66 1880</t>
  </si>
  <si>
    <t>TRD_340</t>
  </si>
  <si>
    <t>TRD_341</t>
  </si>
  <si>
    <t>IA48 1789</t>
  </si>
  <si>
    <t>TRD_342</t>
  </si>
  <si>
    <t>IA73 1777</t>
  </si>
  <si>
    <t>TRD_343</t>
  </si>
  <si>
    <t>TRD_344</t>
  </si>
  <si>
    <t>IA9 1878</t>
  </si>
  <si>
    <t>TRD_345</t>
  </si>
  <si>
    <t>IA47 1881</t>
  </si>
  <si>
    <t>TRD_347</t>
  </si>
  <si>
    <t>IA5 1863</t>
  </si>
  <si>
    <t>Middle adult</t>
  </si>
  <si>
    <t>Burial 28</t>
  </si>
  <si>
    <t>3,27</t>
  </si>
  <si>
    <t>Cranial</t>
  </si>
  <si>
    <t>3,5</t>
  </si>
  <si>
    <t>TRD_654</t>
  </si>
  <si>
    <t>TRD_655</t>
  </si>
  <si>
    <t xml:space="preserve">Burial 2 </t>
  </si>
  <si>
    <t>Pernambuco Araquari</t>
  </si>
  <si>
    <t>TRD_389</t>
  </si>
  <si>
    <t>IA51 4411</t>
  </si>
  <si>
    <t>TRD_390</t>
  </si>
  <si>
    <t>IA46 4096</t>
  </si>
  <si>
    <t>TRD_391</t>
  </si>
  <si>
    <t>IA140 4410</t>
  </si>
  <si>
    <t>Burial 19</t>
  </si>
  <si>
    <t>Burial 53</t>
  </si>
  <si>
    <t>Pinheiro</t>
  </si>
  <si>
    <t>TRD_404</t>
  </si>
  <si>
    <t>IA23 4780</t>
  </si>
  <si>
    <t>TRD_406</t>
  </si>
  <si>
    <t>IA128</t>
  </si>
  <si>
    <t>TRD_402</t>
  </si>
  <si>
    <t>IA54 6944</t>
  </si>
  <si>
    <t>Pinheiro (Samb. 7)</t>
  </si>
  <si>
    <t>TRD_401</t>
  </si>
  <si>
    <t>Pinheiro (Samb. 8)</t>
  </si>
  <si>
    <t>TRD_399</t>
  </si>
  <si>
    <t>Pinheiro 3</t>
  </si>
  <si>
    <t>TRD_405</t>
  </si>
  <si>
    <t>IA50 5282</t>
  </si>
  <si>
    <t>TRD_407</t>
  </si>
  <si>
    <t>IA133 5283</t>
  </si>
  <si>
    <t>Pinheiro or Kosemodel</t>
  </si>
  <si>
    <t>TRD_403</t>
  </si>
  <si>
    <t>GT1</t>
  </si>
  <si>
    <t>Ponta do Lessa I</t>
  </si>
  <si>
    <t>TRD_67</t>
  </si>
  <si>
    <t>RL-1</t>
  </si>
  <si>
    <t xml:space="preserve">Ponte do Rio Cubiculo </t>
  </si>
  <si>
    <t>TRD_5</t>
  </si>
  <si>
    <t>PRC01-12</t>
  </si>
  <si>
    <t>TRD_6</t>
  </si>
  <si>
    <t>PRC01-13</t>
  </si>
  <si>
    <t>TRD_7</t>
  </si>
  <si>
    <t>PRC01-14</t>
  </si>
  <si>
    <t>TRD_8</t>
  </si>
  <si>
    <t>PRC01-16</t>
  </si>
  <si>
    <t>TRD_9</t>
  </si>
  <si>
    <t>PRC01-18</t>
  </si>
  <si>
    <t>TRD_10</t>
  </si>
  <si>
    <t>PRC01-20</t>
  </si>
  <si>
    <t>TRD_15</t>
  </si>
  <si>
    <t>PRC01-27</t>
  </si>
  <si>
    <t>TRD_16</t>
  </si>
  <si>
    <t>PRC01-28</t>
  </si>
  <si>
    <t>TRD_17</t>
  </si>
  <si>
    <t>PRC01-29</t>
  </si>
  <si>
    <t>TRD_18</t>
  </si>
  <si>
    <t>PRC01-31</t>
  </si>
  <si>
    <t>TRD_19</t>
  </si>
  <si>
    <t>PRC01-33</t>
  </si>
  <si>
    <t>TRD_20</t>
  </si>
  <si>
    <t>PRC01-35</t>
  </si>
  <si>
    <t>TRD_21</t>
  </si>
  <si>
    <t>PRC01-4</t>
  </si>
  <si>
    <t>TRD_22</t>
  </si>
  <si>
    <t>PRC01-40</t>
  </si>
  <si>
    <t>TRD_23</t>
  </si>
  <si>
    <t>PRC01-41</t>
  </si>
  <si>
    <t>TRD_24</t>
  </si>
  <si>
    <t>PRC01-42</t>
  </si>
  <si>
    <t>TRD_25</t>
  </si>
  <si>
    <t>PRC01-43</t>
  </si>
  <si>
    <t>TRD_26</t>
  </si>
  <si>
    <t>PRC01-45</t>
  </si>
  <si>
    <t>TRD_27</t>
  </si>
  <si>
    <t>PRC01-46</t>
  </si>
  <si>
    <t>TRD_29</t>
  </si>
  <si>
    <t>PRC01-48</t>
  </si>
  <si>
    <t xml:space="preserve">Juvenile </t>
  </si>
  <si>
    <t>TRD_30</t>
  </si>
  <si>
    <t>PRC01-49</t>
  </si>
  <si>
    <t>TRD_31</t>
  </si>
  <si>
    <t>PRC01-58</t>
  </si>
  <si>
    <t>TRD_32</t>
  </si>
  <si>
    <t>PRC01-6</t>
  </si>
  <si>
    <t>TRD_33</t>
  </si>
  <si>
    <t>PRC01-60</t>
  </si>
  <si>
    <t>TRD_34</t>
  </si>
  <si>
    <t>PRC01-61</t>
  </si>
  <si>
    <t>TRD_35</t>
  </si>
  <si>
    <t>PRC01-64</t>
  </si>
  <si>
    <t>TRD_37</t>
  </si>
  <si>
    <t>PRC01-69</t>
  </si>
  <si>
    <t>TRD_38</t>
  </si>
  <si>
    <t>PRC01-7</t>
  </si>
  <si>
    <t>TRD_39</t>
  </si>
  <si>
    <t>PRC01-71</t>
  </si>
  <si>
    <t>TRD_40</t>
  </si>
  <si>
    <t>PRC01-73</t>
  </si>
  <si>
    <t>TRD_41</t>
  </si>
  <si>
    <t>PRC01-75</t>
  </si>
  <si>
    <t>TRD_43</t>
  </si>
  <si>
    <t>PRC01-84</t>
  </si>
  <si>
    <t>TRD_44</t>
  </si>
  <si>
    <t>PRC01-86</t>
  </si>
  <si>
    <t>TRD_45</t>
  </si>
  <si>
    <t>PRC01-87</t>
  </si>
  <si>
    <t>TRD_46</t>
  </si>
  <si>
    <t>PRC01-92</t>
  </si>
  <si>
    <t>TRD_47</t>
  </si>
  <si>
    <t>PRC01-A</t>
  </si>
  <si>
    <t>Porto do Rei</t>
  </si>
  <si>
    <t>TRD_449</t>
  </si>
  <si>
    <t>IA16 6943</t>
  </si>
  <si>
    <t>TRD_450</t>
  </si>
  <si>
    <t>IA16 6943b</t>
  </si>
  <si>
    <t>TRD_61</t>
  </si>
  <si>
    <t>PT2</t>
  </si>
  <si>
    <t>T63</t>
  </si>
  <si>
    <t>T100</t>
  </si>
  <si>
    <t>T107</t>
  </si>
  <si>
    <t>T11</t>
  </si>
  <si>
    <t>T115</t>
  </si>
  <si>
    <t>3,1</t>
  </si>
  <si>
    <t>T117</t>
  </si>
  <si>
    <t>T119</t>
  </si>
  <si>
    <t>T12</t>
  </si>
  <si>
    <t>T122</t>
  </si>
  <si>
    <t>T131</t>
  </si>
  <si>
    <t>T146</t>
  </si>
  <si>
    <t>T150</t>
  </si>
  <si>
    <t>T156</t>
  </si>
  <si>
    <t>T159</t>
  </si>
  <si>
    <t>T16</t>
  </si>
  <si>
    <t>T166</t>
  </si>
  <si>
    <t>T167</t>
  </si>
  <si>
    <t>T169</t>
  </si>
  <si>
    <t>T18</t>
  </si>
  <si>
    <t>T19</t>
  </si>
  <si>
    <t>T20</t>
  </si>
  <si>
    <t>T23</t>
  </si>
  <si>
    <t>T31</t>
  </si>
  <si>
    <t>T32</t>
  </si>
  <si>
    <t>T34</t>
  </si>
  <si>
    <t>T35</t>
  </si>
  <si>
    <t>T39</t>
  </si>
  <si>
    <t>T4</t>
  </si>
  <si>
    <t>T42</t>
  </si>
  <si>
    <t>T56A</t>
  </si>
  <si>
    <t>T66</t>
  </si>
  <si>
    <t>T97</t>
  </si>
  <si>
    <t>T98</t>
  </si>
  <si>
    <t>41,31</t>
  </si>
  <si>
    <t>39,31</t>
  </si>
  <si>
    <t>42,33</t>
  </si>
  <si>
    <t>14,59</t>
  </si>
  <si>
    <t>31,32</t>
  </si>
  <si>
    <t>11,09</t>
  </si>
  <si>
    <t>39,98</t>
  </si>
  <si>
    <t>14,98</t>
  </si>
  <si>
    <t>41,58</t>
  </si>
  <si>
    <t>42,98</t>
  </si>
  <si>
    <t>14,61</t>
  </si>
  <si>
    <t>42,9</t>
  </si>
  <si>
    <t>14,25</t>
  </si>
  <si>
    <t>42,3</t>
  </si>
  <si>
    <t>42,4</t>
  </si>
  <si>
    <t>43,4</t>
  </si>
  <si>
    <t>43,5</t>
  </si>
  <si>
    <t>15,5</t>
  </si>
  <si>
    <t>44,2</t>
  </si>
  <si>
    <t>15,8</t>
  </si>
  <si>
    <t>41,6</t>
  </si>
  <si>
    <t>15,0</t>
  </si>
  <si>
    <t>41,5</t>
  </si>
  <si>
    <t>Prefeitura de Araquari</t>
  </si>
  <si>
    <t>TRD_452</t>
  </si>
  <si>
    <t>IA136 4098</t>
  </si>
  <si>
    <t>TRD_453</t>
  </si>
  <si>
    <t>I90 4099</t>
  </si>
  <si>
    <t>Ribeira</t>
  </si>
  <si>
    <t>TRD_457</t>
  </si>
  <si>
    <t>IA88 4095</t>
  </si>
  <si>
    <t>Rio comprido</t>
  </si>
  <si>
    <t>Burial 66</t>
  </si>
  <si>
    <t>RC67D</t>
  </si>
  <si>
    <t>Burial 67D</t>
  </si>
  <si>
    <t>RC66</t>
  </si>
  <si>
    <t>RC67A+B</t>
  </si>
  <si>
    <t>Burial 67A+B</t>
  </si>
  <si>
    <t>RC22</t>
  </si>
  <si>
    <t>Burial 22</t>
  </si>
  <si>
    <t>RC52</t>
  </si>
  <si>
    <t>RC2A</t>
  </si>
  <si>
    <t>Burial 2A</t>
  </si>
  <si>
    <t>Child (6 year)</t>
  </si>
  <si>
    <t>RC3</t>
  </si>
  <si>
    <t>RC42B</t>
  </si>
  <si>
    <t>Burial 42B</t>
  </si>
  <si>
    <t>Infant (~8y)</t>
  </si>
  <si>
    <t>RC44</t>
  </si>
  <si>
    <t>Burial 44</t>
  </si>
  <si>
    <t>Rio Comprido</t>
  </si>
  <si>
    <t>39,6</t>
  </si>
  <si>
    <t>13,95</t>
  </si>
  <si>
    <t>3,32</t>
  </si>
  <si>
    <t>37,54</t>
  </si>
  <si>
    <t>38,62</t>
  </si>
  <si>
    <t>13,69</t>
  </si>
  <si>
    <t>35,24</t>
  </si>
  <si>
    <t>12,63</t>
  </si>
  <si>
    <t>RC 66</t>
  </si>
  <si>
    <t>37,8</t>
  </si>
  <si>
    <t>RC 68</t>
  </si>
  <si>
    <t>38,9</t>
  </si>
  <si>
    <t>RC 1A</t>
  </si>
  <si>
    <t>26,9</t>
  </si>
  <si>
    <t>9,1</t>
  </si>
  <si>
    <t>RC 30A</t>
  </si>
  <si>
    <t>17,5</t>
  </si>
  <si>
    <t>5,8</t>
  </si>
  <si>
    <t>3,6</t>
  </si>
  <si>
    <t>RC 4A</t>
  </si>
  <si>
    <t>TRD_272</t>
  </si>
  <si>
    <t>ALE58075</t>
  </si>
  <si>
    <t>TRD_273</t>
  </si>
  <si>
    <t>ALE58072</t>
  </si>
  <si>
    <t>TRD_275</t>
  </si>
  <si>
    <t>ALE58071</t>
  </si>
  <si>
    <t>TRD_276</t>
  </si>
  <si>
    <t>ARA52012</t>
  </si>
  <si>
    <t>TRD_277</t>
  </si>
  <si>
    <t>ARA52013</t>
  </si>
  <si>
    <t>TRD_278</t>
  </si>
  <si>
    <t>ARA520111</t>
  </si>
  <si>
    <t>TRD_279</t>
  </si>
  <si>
    <t>ARA520110</t>
  </si>
  <si>
    <t>TRD_175</t>
  </si>
  <si>
    <t>ARA5021</t>
  </si>
  <si>
    <t>Sambaqui Areia Pequenas</t>
  </si>
  <si>
    <t>TRD_412</t>
  </si>
  <si>
    <t>I28 4409</t>
  </si>
  <si>
    <t>TRD_413</t>
  </si>
  <si>
    <t>IA123</t>
  </si>
  <si>
    <t>TRD_414</t>
  </si>
  <si>
    <t>I62 5583</t>
  </si>
  <si>
    <t>TRD_415</t>
  </si>
  <si>
    <t>I72 3789</t>
  </si>
  <si>
    <t>TRD_416</t>
  </si>
  <si>
    <t>I75 2211</t>
  </si>
  <si>
    <t>Sambaqui Caieira (da Barra do Sul I?)</t>
  </si>
  <si>
    <t>TRD_48</t>
  </si>
  <si>
    <t>CAIE10</t>
  </si>
  <si>
    <t>TRD_49</t>
  </si>
  <si>
    <t>CAIE9</t>
  </si>
  <si>
    <t>Sambaqui Carniça I</t>
  </si>
  <si>
    <t>TRD_50</t>
  </si>
  <si>
    <t>CAR1</t>
  </si>
  <si>
    <t xml:space="preserve">Long bone </t>
  </si>
  <si>
    <t>Sambaquis do Moa</t>
  </si>
  <si>
    <t>30-35</t>
  </si>
  <si>
    <t>Burial 2a</t>
  </si>
  <si>
    <t>20-22</t>
  </si>
  <si>
    <t>Burial 2b</t>
  </si>
  <si>
    <t>39-44</t>
  </si>
  <si>
    <t>27-30</t>
  </si>
  <si>
    <t>18-19</t>
  </si>
  <si>
    <t>Adulto</t>
  </si>
  <si>
    <t>Zé Espinho</t>
  </si>
  <si>
    <t>42,39</t>
  </si>
  <si>
    <t>15,03</t>
  </si>
  <si>
    <t>Ponta das Flechas</t>
  </si>
  <si>
    <t>Macedo/Toral</t>
  </si>
  <si>
    <t>Sambaqui Araujo II</t>
  </si>
  <si>
    <t>Matinhos I</t>
  </si>
  <si>
    <t>Pinheiro (est.9)</t>
  </si>
  <si>
    <t>This study</t>
  </si>
  <si>
    <t>Burial 33</t>
  </si>
  <si>
    <t>Burial 55</t>
  </si>
  <si>
    <t>TRD_370</t>
  </si>
  <si>
    <t>IA76 2746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</si>
</sst>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Times New Roman"/>
      <family val="1"/>
    </font>
    <font>
      <sz val="11"/>
      <color rgb="FF000000"/>
      <name val="Calibri"/>
      <family val="2"/>
      <scheme val="minor"/>
    </font>
    <font>
      <sz val="11"/>
      <name val="DengXian"/>
      <family val="4"/>
      <charset val="134"/>
    </font>
    <font>
      <sz val="11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3">
    <cellStyle name="Normal" xfId="0" builtinId="0"/>
    <cellStyle name="Normal 2" xfId="1" xr:uid="{9C59D861-CBCF-4060-A977-261A5F5AB8B1}"/>
    <cellStyle name="Normal 23" xfId="2" xr:uid="{73777B46-6D57-4849-BD2A-0AB9A451E189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AA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28BD-226E-49B3-837E-DC1D1F77F0D8}">
  <sheetPr filterMode="1"/>
  <dimension ref="A1:AA536"/>
  <sheetViews>
    <sheetView tabSelected="1" workbookViewId="0">
      <selection activeCell="A220" sqref="A220:C221"/>
    </sheetView>
  </sheetViews>
  <sheetFormatPr baseColWidth="10" defaultColWidth="9.1640625" defaultRowHeight="15"/>
  <cols>
    <col min="1" max="1" width="38" style="1" bestFit="1" customWidth="1"/>
    <col min="2" max="2" width="19.6640625" style="2" bestFit="1" customWidth="1"/>
    <col min="3" max="3" width="21.33203125" style="2" bestFit="1" customWidth="1"/>
    <col min="4" max="4" width="10.83203125" style="1" bestFit="1" customWidth="1"/>
    <col min="5" max="5" width="31.6640625" style="1" bestFit="1" customWidth="1"/>
    <col min="6" max="6" width="31.6640625" style="1" customWidth="1"/>
    <col min="7" max="7" width="18.6640625" style="1" bestFit="1" customWidth="1"/>
    <col min="8" max="8" width="89.33203125" style="1" bestFit="1" customWidth="1"/>
    <col min="9" max="9" width="18.5" style="1" bestFit="1" customWidth="1"/>
    <col min="10" max="10" width="13.5" style="1" bestFit="1" customWidth="1"/>
    <col min="11" max="11" width="30.33203125" style="1" bestFit="1" customWidth="1"/>
    <col min="12" max="12" width="8.33203125" style="1" bestFit="1" customWidth="1"/>
    <col min="13" max="14" width="8.5" style="1" bestFit="1" customWidth="1"/>
    <col min="15" max="15" width="8.6640625" style="1" bestFit="1" customWidth="1"/>
    <col min="16" max="17" width="8.6640625" style="1" customWidth="1"/>
    <col min="18" max="18" width="18.83203125" style="1" bestFit="1" customWidth="1"/>
    <col min="19" max="19" width="19.1640625" style="1" bestFit="1" customWidth="1"/>
    <col min="20" max="20" width="18.6640625" style="1" bestFit="1" customWidth="1"/>
    <col min="21" max="21" width="11" style="1" bestFit="1" customWidth="1"/>
    <col min="22" max="22" width="11.33203125" style="1" bestFit="1" customWidth="1"/>
    <col min="23" max="23" width="10.83203125" style="1" bestFit="1" customWidth="1"/>
    <col min="24" max="24" width="22.1640625" style="1" bestFit="1" customWidth="1"/>
    <col min="25" max="25" width="8.5" style="1" bestFit="1" customWidth="1"/>
    <col min="26" max="26" width="61.6640625" style="1" bestFit="1" customWidth="1"/>
    <col min="27" max="27" width="50" style="1" customWidth="1"/>
    <col min="28" max="28" width="18.1640625" style="1" bestFit="1" customWidth="1"/>
    <col min="29" max="29" width="6.6640625" style="1" bestFit="1" customWidth="1"/>
    <col min="30" max="30" width="9" style="1" bestFit="1" customWidth="1"/>
    <col min="31" max="31" width="7.1640625" style="1" bestFit="1" customWidth="1"/>
    <col min="32" max="33" width="6.1640625" style="1" bestFit="1" customWidth="1"/>
    <col min="34" max="34" width="7.83203125" style="1" bestFit="1" customWidth="1"/>
    <col min="35" max="35" width="7.1640625" style="1" bestFit="1" customWidth="1"/>
    <col min="36" max="36" width="10.33203125" style="1" bestFit="1" customWidth="1"/>
    <col min="37" max="16384" width="9.1640625" style="1"/>
  </cols>
  <sheetData>
    <row r="1" spans="1:27" s="4" customFormat="1">
      <c r="A1" s="4" t="s">
        <v>0</v>
      </c>
      <c r="B1" s="5" t="s">
        <v>22</v>
      </c>
      <c r="C1" s="5" t="s">
        <v>23</v>
      </c>
    </row>
    <row r="2" spans="1:27" s="7" customFormat="1" hidden="1">
      <c r="A2" s="1" t="s">
        <v>7</v>
      </c>
      <c r="B2" s="2">
        <v>-27.378799999999998</v>
      </c>
      <c r="C2" s="2">
        <v>-48.535299999999999</v>
      </c>
      <c r="D2" s="1" t="s">
        <v>24</v>
      </c>
      <c r="E2" s="1" t="s">
        <v>25</v>
      </c>
      <c r="F2" s="1"/>
      <c r="G2" s="1" t="s">
        <v>26</v>
      </c>
      <c r="H2" s="1" t="s">
        <v>25</v>
      </c>
      <c r="I2" s="2" t="s">
        <v>20</v>
      </c>
      <c r="J2" s="2" t="s">
        <v>20</v>
      </c>
      <c r="K2" s="1" t="s">
        <v>27</v>
      </c>
      <c r="L2" s="3">
        <v>41.06</v>
      </c>
      <c r="M2" s="3">
        <v>13.82</v>
      </c>
      <c r="N2" s="3">
        <v>0.18</v>
      </c>
      <c r="O2" s="3">
        <v>3.47</v>
      </c>
      <c r="P2" s="6">
        <v>608.29629629629642</v>
      </c>
      <c r="Q2" s="6">
        <f>M2/N2*32/14</f>
        <v>175.49206349206352</v>
      </c>
      <c r="R2" s="3">
        <v>-11.35</v>
      </c>
      <c r="S2" s="3">
        <v>14.65</v>
      </c>
      <c r="T2" s="3">
        <v>9.57</v>
      </c>
      <c r="U2" s="1">
        <f>R2-1</f>
        <v>-12.35</v>
      </c>
      <c r="V2" s="1">
        <f>S2-3.4</f>
        <v>11.25</v>
      </c>
      <c r="W2" s="1">
        <f>T2+1.5</f>
        <v>11.07</v>
      </c>
      <c r="X2" s="3" t="s">
        <v>11</v>
      </c>
      <c r="Y2" s="1" t="s">
        <v>12</v>
      </c>
      <c r="Z2" s="1" t="s">
        <v>888</v>
      </c>
      <c r="AA2" s="1"/>
    </row>
    <row r="3" spans="1:27" s="7" customFormat="1" hidden="1">
      <c r="A3" s="1" t="s">
        <v>28</v>
      </c>
      <c r="B3" s="2">
        <v>-27.750610000000002</v>
      </c>
      <c r="C3" s="2">
        <v>-48.501384000000002</v>
      </c>
      <c r="D3" s="1" t="s">
        <v>29</v>
      </c>
      <c r="E3" s="1" t="s">
        <v>30</v>
      </c>
      <c r="F3" s="1"/>
      <c r="G3" s="1" t="s">
        <v>26</v>
      </c>
      <c r="H3" s="1" t="s">
        <v>30</v>
      </c>
      <c r="I3" s="2" t="s">
        <v>20</v>
      </c>
      <c r="J3" s="2" t="s">
        <v>20</v>
      </c>
      <c r="K3" s="1" t="s">
        <v>31</v>
      </c>
      <c r="L3" s="3">
        <v>43.6</v>
      </c>
      <c r="M3" s="3">
        <v>15.1</v>
      </c>
      <c r="N3" s="3">
        <v>0.2</v>
      </c>
      <c r="O3" s="3">
        <v>3.4</v>
      </c>
      <c r="P3" s="6">
        <v>581.33333333333337</v>
      </c>
      <c r="Q3" s="6">
        <f>M3/N3*32/14</f>
        <v>172.57142857142858</v>
      </c>
      <c r="R3" s="3">
        <v>-12.3</v>
      </c>
      <c r="S3" s="3">
        <v>18.899999999999999</v>
      </c>
      <c r="T3" s="3">
        <v>15</v>
      </c>
      <c r="U3" s="1">
        <f>R3-1</f>
        <v>-13.3</v>
      </c>
      <c r="V3" s="1">
        <f>S3-3.4</f>
        <v>15.499999999999998</v>
      </c>
      <c r="W3" s="1">
        <f>T3+1.5</f>
        <v>16.5</v>
      </c>
      <c r="X3" s="3" t="s">
        <v>11</v>
      </c>
      <c r="Y3" s="1" t="s">
        <v>12</v>
      </c>
      <c r="Z3" s="1" t="s">
        <v>888</v>
      </c>
      <c r="AA3" s="1"/>
    </row>
    <row r="4" spans="1:27" s="7" customFormat="1" hidden="1">
      <c r="A4" s="1" t="s">
        <v>28</v>
      </c>
      <c r="B4" s="2">
        <v>-27.75</v>
      </c>
      <c r="C4" s="2">
        <v>-48.5</v>
      </c>
      <c r="D4" s="1"/>
      <c r="E4" s="1">
        <v>2</v>
      </c>
      <c r="F4" s="1"/>
      <c r="G4" s="1" t="s">
        <v>26</v>
      </c>
      <c r="H4" s="1"/>
      <c r="I4" s="1" t="s">
        <v>32</v>
      </c>
      <c r="J4" s="1" t="s">
        <v>33</v>
      </c>
      <c r="K4" s="1" t="s">
        <v>31</v>
      </c>
      <c r="L4" s="3" t="s">
        <v>34</v>
      </c>
      <c r="M4" s="3" t="s">
        <v>35</v>
      </c>
      <c r="N4" s="1"/>
      <c r="O4" s="3">
        <v>3.02</v>
      </c>
      <c r="P4" s="1"/>
      <c r="Q4" s="1"/>
      <c r="R4" s="3">
        <v>-12.8</v>
      </c>
      <c r="S4" s="3">
        <v>17</v>
      </c>
      <c r="T4" s="1"/>
      <c r="U4" s="1"/>
      <c r="V4" s="1"/>
      <c r="W4" s="1"/>
      <c r="X4" s="1"/>
      <c r="Y4" s="1"/>
      <c r="Z4" s="1"/>
      <c r="AA4" s="1"/>
    </row>
    <row r="5" spans="1:27" hidden="1">
      <c r="A5" s="1" t="s">
        <v>28</v>
      </c>
      <c r="B5" s="2">
        <v>-27.75</v>
      </c>
      <c r="C5" s="2">
        <v>-48.5</v>
      </c>
      <c r="E5" s="1">
        <v>3</v>
      </c>
      <c r="G5" s="1" t="s">
        <v>26</v>
      </c>
      <c r="I5" s="1" t="s">
        <v>36</v>
      </c>
      <c r="J5" s="1" t="s">
        <v>33</v>
      </c>
      <c r="K5" s="1" t="s">
        <v>31</v>
      </c>
      <c r="L5" s="3" t="s">
        <v>37</v>
      </c>
      <c r="M5" s="3" t="s">
        <v>38</v>
      </c>
      <c r="O5" s="3">
        <v>3.01</v>
      </c>
      <c r="R5" s="3">
        <v>-10.6</v>
      </c>
      <c r="S5" s="3">
        <v>17.399999999999999</v>
      </c>
    </row>
    <row r="6" spans="1:27" hidden="1">
      <c r="A6" s="1" t="s">
        <v>28</v>
      </c>
      <c r="B6" s="2">
        <v>-27.75</v>
      </c>
      <c r="C6" s="2">
        <v>-48.5</v>
      </c>
      <c r="E6" s="1">
        <v>5</v>
      </c>
      <c r="G6" s="1" t="s">
        <v>26</v>
      </c>
      <c r="I6" s="1" t="s">
        <v>32</v>
      </c>
      <c r="J6" s="1" t="s">
        <v>33</v>
      </c>
      <c r="K6" s="1" t="s">
        <v>31</v>
      </c>
      <c r="L6" s="3" t="s">
        <v>39</v>
      </c>
      <c r="M6" s="3" t="s">
        <v>40</v>
      </c>
      <c r="O6" s="3">
        <v>3</v>
      </c>
      <c r="R6" s="3">
        <v>-12.2</v>
      </c>
      <c r="S6" s="3">
        <v>18.7</v>
      </c>
    </row>
    <row r="7" spans="1:27" s="7" customFormat="1" hidden="1">
      <c r="A7" s="1" t="s">
        <v>28</v>
      </c>
      <c r="B7" s="2">
        <v>-27.75</v>
      </c>
      <c r="C7" s="2">
        <v>-48.5</v>
      </c>
      <c r="D7" s="1"/>
      <c r="E7" s="1">
        <v>6</v>
      </c>
      <c r="F7" s="1"/>
      <c r="G7" s="1" t="s">
        <v>26</v>
      </c>
      <c r="H7" s="1"/>
      <c r="I7" s="1" t="s">
        <v>41</v>
      </c>
      <c r="J7" s="1" t="s">
        <v>42</v>
      </c>
      <c r="K7" s="1" t="s">
        <v>43</v>
      </c>
      <c r="L7" s="3" t="s">
        <v>44</v>
      </c>
      <c r="M7" s="3" t="s">
        <v>45</v>
      </c>
      <c r="N7" s="1"/>
      <c r="O7" s="3">
        <v>3.06</v>
      </c>
      <c r="P7" s="1"/>
      <c r="Q7" s="1"/>
      <c r="R7" s="3">
        <v>-12</v>
      </c>
      <c r="S7" s="3">
        <v>17.7</v>
      </c>
      <c r="T7" s="1"/>
      <c r="U7" s="1"/>
      <c r="V7" s="1"/>
      <c r="W7" s="1"/>
      <c r="X7" s="1"/>
      <c r="Y7" s="1"/>
      <c r="Z7" s="1"/>
      <c r="AA7" s="1"/>
    </row>
    <row r="8" spans="1:27" s="7" customFormat="1" hidden="1">
      <c r="A8" s="1" t="s">
        <v>28</v>
      </c>
      <c r="B8" s="2">
        <v>-27.75</v>
      </c>
      <c r="C8" s="2">
        <v>-48.5</v>
      </c>
      <c r="D8" s="1"/>
      <c r="E8" s="1">
        <v>8</v>
      </c>
      <c r="F8" s="1"/>
      <c r="G8" s="1" t="s">
        <v>26</v>
      </c>
      <c r="H8" s="1"/>
      <c r="I8" s="1" t="s">
        <v>36</v>
      </c>
      <c r="J8" s="1" t="s">
        <v>33</v>
      </c>
      <c r="K8" s="1" t="s">
        <v>31</v>
      </c>
      <c r="L8" s="3" t="s">
        <v>46</v>
      </c>
      <c r="M8" s="3" t="s">
        <v>47</v>
      </c>
      <c r="N8" s="1"/>
      <c r="O8" s="3">
        <v>2.96</v>
      </c>
      <c r="P8" s="1"/>
      <c r="Q8" s="1"/>
      <c r="R8" s="3">
        <v>-10.5</v>
      </c>
      <c r="S8" s="3">
        <v>17.8</v>
      </c>
      <c r="T8" s="1"/>
      <c r="U8" s="1"/>
      <c r="V8" s="1"/>
      <c r="W8" s="1"/>
      <c r="X8" s="1"/>
      <c r="Y8" s="1"/>
      <c r="Z8" s="1"/>
      <c r="AA8" s="1"/>
    </row>
    <row r="9" spans="1:27" s="7" customFormat="1" hidden="1">
      <c r="A9" s="1" t="s">
        <v>28</v>
      </c>
      <c r="B9" s="2">
        <v>-27.75</v>
      </c>
      <c r="C9" s="2">
        <v>-48.5</v>
      </c>
      <c r="D9" s="1"/>
      <c r="E9" s="1">
        <v>14</v>
      </c>
      <c r="F9" s="1"/>
      <c r="G9" s="1" t="s">
        <v>26</v>
      </c>
      <c r="H9" s="1"/>
      <c r="I9" s="1" t="s">
        <v>36</v>
      </c>
      <c r="J9" s="1" t="s">
        <v>33</v>
      </c>
      <c r="K9" s="1" t="s">
        <v>31</v>
      </c>
      <c r="L9" s="3" t="s">
        <v>48</v>
      </c>
      <c r="M9" s="3" t="s">
        <v>49</v>
      </c>
      <c r="N9" s="1"/>
      <c r="O9" s="3">
        <v>2.95</v>
      </c>
      <c r="P9" s="1"/>
      <c r="Q9" s="1"/>
      <c r="R9" s="3">
        <v>-10.5</v>
      </c>
      <c r="S9" s="3">
        <v>17.899999999999999</v>
      </c>
      <c r="T9" s="1"/>
      <c r="U9" s="1"/>
      <c r="V9" s="1"/>
      <c r="W9" s="1"/>
      <c r="X9" s="1"/>
      <c r="Y9" s="1"/>
      <c r="Z9" s="1"/>
      <c r="AA9" s="1"/>
    </row>
    <row r="10" spans="1:27" s="7" customFormat="1" hidden="1">
      <c r="A10" s="1" t="s">
        <v>28</v>
      </c>
      <c r="B10" s="2">
        <v>-27.75</v>
      </c>
      <c r="C10" s="2">
        <v>-48.5</v>
      </c>
      <c r="D10" s="1"/>
      <c r="E10" s="1">
        <v>15</v>
      </c>
      <c r="F10" s="1"/>
      <c r="G10" s="1" t="s">
        <v>26</v>
      </c>
      <c r="H10" s="1"/>
      <c r="I10" s="1" t="s">
        <v>41</v>
      </c>
      <c r="J10" s="1" t="s">
        <v>42</v>
      </c>
      <c r="K10" s="1" t="s">
        <v>31</v>
      </c>
      <c r="L10" s="3" t="s">
        <v>50</v>
      </c>
      <c r="M10" s="3" t="s">
        <v>51</v>
      </c>
      <c r="N10" s="1"/>
      <c r="O10" s="3">
        <v>2.93</v>
      </c>
      <c r="P10" s="1"/>
      <c r="Q10" s="1"/>
      <c r="R10" s="3">
        <v>-11.5</v>
      </c>
      <c r="S10" s="3">
        <v>17.600000000000001</v>
      </c>
      <c r="T10" s="1"/>
      <c r="U10" s="1"/>
      <c r="V10" s="1"/>
      <c r="W10" s="1"/>
      <c r="X10" s="1"/>
      <c r="Y10" s="1"/>
      <c r="Z10" s="1"/>
      <c r="AA10" s="1"/>
    </row>
    <row r="11" spans="1:27" hidden="1">
      <c r="A11" s="1" t="s">
        <v>28</v>
      </c>
      <c r="B11" s="2">
        <v>-27.75</v>
      </c>
      <c r="C11" s="2">
        <v>-48.5</v>
      </c>
      <c r="E11" s="1">
        <v>17</v>
      </c>
      <c r="G11" s="1" t="s">
        <v>26</v>
      </c>
      <c r="I11" s="1" t="s">
        <v>41</v>
      </c>
      <c r="J11" s="1" t="s">
        <v>42</v>
      </c>
      <c r="K11" s="1" t="s">
        <v>31</v>
      </c>
      <c r="L11" s="3" t="s">
        <v>52</v>
      </c>
      <c r="M11" s="3" t="s">
        <v>53</v>
      </c>
      <c r="O11" s="3">
        <v>3</v>
      </c>
      <c r="R11" s="3">
        <v>-11.3</v>
      </c>
      <c r="S11" s="3">
        <v>17.8</v>
      </c>
    </row>
    <row r="12" spans="1:27" hidden="1">
      <c r="A12" s="1" t="s">
        <v>28</v>
      </c>
      <c r="B12" s="2">
        <v>-27.75</v>
      </c>
      <c r="C12" s="2">
        <v>-48.5</v>
      </c>
      <c r="E12" s="1">
        <v>22</v>
      </c>
      <c r="G12" s="1" t="s">
        <v>26</v>
      </c>
      <c r="I12" s="1" t="s">
        <v>41</v>
      </c>
      <c r="J12" s="1" t="s">
        <v>42</v>
      </c>
      <c r="K12" s="1" t="s">
        <v>31</v>
      </c>
      <c r="L12" s="3" t="s">
        <v>54</v>
      </c>
      <c r="M12" s="3" t="s">
        <v>55</v>
      </c>
      <c r="O12" s="3">
        <v>2.93</v>
      </c>
      <c r="R12" s="3">
        <v>-12.4</v>
      </c>
      <c r="S12" s="3">
        <v>16.399999999999999</v>
      </c>
    </row>
    <row r="13" spans="1:27" hidden="1">
      <c r="A13" s="1" t="s">
        <v>28</v>
      </c>
      <c r="B13" s="2">
        <v>-27.75</v>
      </c>
      <c r="C13" s="2">
        <v>-48.5</v>
      </c>
      <c r="E13" s="1">
        <v>27</v>
      </c>
      <c r="G13" s="1" t="s">
        <v>26</v>
      </c>
      <c r="I13" s="1" t="s">
        <v>41</v>
      </c>
      <c r="J13" s="1" t="s">
        <v>42</v>
      </c>
      <c r="K13" s="1" t="s">
        <v>43</v>
      </c>
      <c r="L13" s="3" t="s">
        <v>56</v>
      </c>
      <c r="M13" s="3" t="s">
        <v>57</v>
      </c>
      <c r="O13" s="3">
        <v>2.94</v>
      </c>
      <c r="R13" s="3">
        <v>-11.9</v>
      </c>
      <c r="S13" s="3">
        <v>17.7</v>
      </c>
    </row>
    <row r="14" spans="1:27" hidden="1">
      <c r="A14" s="1" t="s">
        <v>28</v>
      </c>
      <c r="B14" s="2">
        <v>-27.75</v>
      </c>
      <c r="C14" s="2">
        <v>-48.5</v>
      </c>
      <c r="E14" s="1">
        <v>28</v>
      </c>
      <c r="G14" s="1" t="s">
        <v>26</v>
      </c>
      <c r="I14" s="1" t="s">
        <v>41</v>
      </c>
      <c r="J14" s="1" t="s">
        <v>42</v>
      </c>
      <c r="K14" s="1" t="s">
        <v>31</v>
      </c>
      <c r="L14" s="3" t="s">
        <v>58</v>
      </c>
      <c r="M14" s="3" t="s">
        <v>59</v>
      </c>
      <c r="O14" s="3">
        <v>2.92</v>
      </c>
      <c r="R14" s="3">
        <v>-11.6</v>
      </c>
      <c r="S14" s="3">
        <v>17.600000000000001</v>
      </c>
    </row>
    <row r="15" spans="1:27" hidden="1">
      <c r="A15" s="1" t="s">
        <v>28</v>
      </c>
      <c r="B15" s="2">
        <v>-27.75</v>
      </c>
      <c r="C15" s="2">
        <v>-48.5</v>
      </c>
      <c r="E15" s="1">
        <v>29</v>
      </c>
      <c r="G15" s="1" t="s">
        <v>26</v>
      </c>
      <c r="I15" s="1" t="s">
        <v>41</v>
      </c>
      <c r="J15" s="1" t="s">
        <v>33</v>
      </c>
      <c r="K15" s="1" t="s">
        <v>31</v>
      </c>
      <c r="L15" s="3" t="s">
        <v>60</v>
      </c>
      <c r="M15" s="3" t="s">
        <v>61</v>
      </c>
      <c r="O15" s="3">
        <v>2.94</v>
      </c>
      <c r="R15" s="3">
        <v>-10.6</v>
      </c>
      <c r="S15" s="3">
        <v>17.100000000000001</v>
      </c>
    </row>
    <row r="16" spans="1:27" hidden="1">
      <c r="A16" s="1" t="s">
        <v>28</v>
      </c>
      <c r="B16" s="2">
        <v>-27.75</v>
      </c>
      <c r="C16" s="2">
        <v>-48.5</v>
      </c>
      <c r="E16" s="1">
        <v>30</v>
      </c>
      <c r="G16" s="1" t="s">
        <v>26</v>
      </c>
      <c r="I16" s="1" t="s">
        <v>41</v>
      </c>
      <c r="J16" s="1" t="s">
        <v>33</v>
      </c>
      <c r="K16" s="1" t="s">
        <v>62</v>
      </c>
      <c r="L16" s="3" t="s">
        <v>63</v>
      </c>
      <c r="M16" s="3" t="s">
        <v>64</v>
      </c>
      <c r="O16" s="3">
        <v>2.91</v>
      </c>
      <c r="R16" s="3">
        <v>-10.3</v>
      </c>
      <c r="S16" s="3">
        <v>17.899999999999999</v>
      </c>
    </row>
    <row r="17" spans="1:27" hidden="1">
      <c r="A17" s="1" t="s">
        <v>28</v>
      </c>
      <c r="B17" s="2">
        <v>-27.75</v>
      </c>
      <c r="C17" s="2">
        <v>-48.5</v>
      </c>
      <c r="E17" s="1">
        <v>31</v>
      </c>
      <c r="G17" s="1" t="s">
        <v>26</v>
      </c>
      <c r="I17" s="1" t="s">
        <v>36</v>
      </c>
      <c r="J17" s="1" t="s">
        <v>42</v>
      </c>
      <c r="K17" s="1" t="s">
        <v>31</v>
      </c>
      <c r="L17" s="3" t="s">
        <v>65</v>
      </c>
      <c r="M17" s="3" t="s">
        <v>66</v>
      </c>
      <c r="O17" s="3">
        <v>3.12</v>
      </c>
      <c r="R17" s="3">
        <v>-11.9</v>
      </c>
      <c r="S17" s="3">
        <v>17.600000000000001</v>
      </c>
    </row>
    <row r="18" spans="1:27" hidden="1">
      <c r="A18" s="1" t="s">
        <v>28</v>
      </c>
      <c r="B18" s="2">
        <v>-27.75</v>
      </c>
      <c r="C18" s="2">
        <v>-48.5</v>
      </c>
      <c r="E18" s="1">
        <v>32</v>
      </c>
      <c r="G18" s="1" t="s">
        <v>26</v>
      </c>
      <c r="I18" s="1" t="s">
        <v>41</v>
      </c>
      <c r="J18" s="1" t="s">
        <v>33</v>
      </c>
      <c r="K18" s="1" t="s">
        <v>31</v>
      </c>
      <c r="L18" s="3" t="s">
        <v>67</v>
      </c>
      <c r="M18" s="3" t="s">
        <v>68</v>
      </c>
      <c r="O18" s="3">
        <v>2.85</v>
      </c>
      <c r="R18" s="3">
        <v>-10.5</v>
      </c>
      <c r="S18" s="3">
        <v>17.8</v>
      </c>
    </row>
    <row r="19" spans="1:27" hidden="1">
      <c r="A19" s="1" t="s">
        <v>28</v>
      </c>
      <c r="B19" s="2">
        <v>-27.75</v>
      </c>
      <c r="C19" s="2">
        <v>-48.5</v>
      </c>
      <c r="E19" s="1">
        <v>33</v>
      </c>
      <c r="G19" s="1" t="s">
        <v>26</v>
      </c>
      <c r="I19" s="1" t="s">
        <v>36</v>
      </c>
      <c r="J19" s="1" t="s">
        <v>33</v>
      </c>
      <c r="K19" s="1" t="s">
        <v>31</v>
      </c>
      <c r="L19" s="3" t="s">
        <v>69</v>
      </c>
      <c r="M19" s="3" t="s">
        <v>70</v>
      </c>
      <c r="O19" s="3">
        <v>2.87</v>
      </c>
      <c r="R19" s="3">
        <v>-10.6</v>
      </c>
      <c r="S19" s="3">
        <v>18.7</v>
      </c>
    </row>
    <row r="20" spans="1:27" hidden="1">
      <c r="A20" s="1" t="s">
        <v>28</v>
      </c>
      <c r="B20" s="2">
        <v>-27.75</v>
      </c>
      <c r="C20" s="2">
        <v>-48.5</v>
      </c>
      <c r="E20" s="1">
        <v>36</v>
      </c>
      <c r="G20" s="1" t="s">
        <v>26</v>
      </c>
      <c r="I20" s="1" t="s">
        <v>41</v>
      </c>
      <c r="J20" s="1" t="s">
        <v>33</v>
      </c>
      <c r="K20" s="1" t="s">
        <v>31</v>
      </c>
      <c r="L20" s="3" t="s">
        <v>71</v>
      </c>
      <c r="M20" s="3" t="s">
        <v>72</v>
      </c>
      <c r="O20" s="3">
        <v>2.98</v>
      </c>
      <c r="R20" s="3">
        <v>-10.9</v>
      </c>
      <c r="S20" s="3">
        <v>19.100000000000001</v>
      </c>
    </row>
    <row r="21" spans="1:27" hidden="1">
      <c r="A21" s="1" t="s">
        <v>28</v>
      </c>
      <c r="B21" s="2">
        <v>-27.75</v>
      </c>
      <c r="C21" s="2">
        <v>-48.5</v>
      </c>
      <c r="E21" s="1">
        <v>37</v>
      </c>
      <c r="G21" s="1" t="s">
        <v>26</v>
      </c>
      <c r="I21" s="1" t="s">
        <v>36</v>
      </c>
      <c r="J21" s="1" t="s">
        <v>33</v>
      </c>
      <c r="K21" s="1" t="s">
        <v>31</v>
      </c>
      <c r="L21" s="3" t="s">
        <v>73</v>
      </c>
      <c r="M21" s="3" t="s">
        <v>74</v>
      </c>
      <c r="O21" s="3">
        <v>2.98</v>
      </c>
      <c r="R21" s="3">
        <v>-10.5</v>
      </c>
      <c r="S21" s="3">
        <v>17</v>
      </c>
    </row>
    <row r="22" spans="1:27" hidden="1">
      <c r="A22" s="1" t="s">
        <v>28</v>
      </c>
      <c r="B22" s="2">
        <v>-27.75</v>
      </c>
      <c r="C22" s="2">
        <v>-48.5</v>
      </c>
      <c r="E22" s="1">
        <v>38</v>
      </c>
      <c r="G22" s="1" t="s">
        <v>26</v>
      </c>
      <c r="I22" s="1" t="s">
        <v>41</v>
      </c>
      <c r="J22" s="1" t="s">
        <v>42</v>
      </c>
      <c r="K22" s="1" t="s">
        <v>31</v>
      </c>
      <c r="L22" s="3" t="s">
        <v>75</v>
      </c>
      <c r="M22" s="3" t="s">
        <v>76</v>
      </c>
      <c r="O22" s="3">
        <v>2.91</v>
      </c>
      <c r="R22" s="3">
        <v>-12.1</v>
      </c>
      <c r="S22" s="3">
        <v>17.5</v>
      </c>
    </row>
    <row r="23" spans="1:27" hidden="1">
      <c r="A23" s="1" t="s">
        <v>28</v>
      </c>
      <c r="B23" s="2">
        <v>-27.75</v>
      </c>
      <c r="C23" s="2">
        <v>-48.5</v>
      </c>
      <c r="E23" s="1">
        <v>39</v>
      </c>
      <c r="G23" s="1" t="s">
        <v>26</v>
      </c>
      <c r="I23" s="1" t="s">
        <v>77</v>
      </c>
      <c r="J23" s="2" t="s">
        <v>20</v>
      </c>
      <c r="K23" s="1" t="s">
        <v>43</v>
      </c>
      <c r="L23" s="3" t="s">
        <v>78</v>
      </c>
      <c r="M23" s="3" t="s">
        <v>79</v>
      </c>
      <c r="O23" s="3">
        <v>2.98</v>
      </c>
      <c r="R23" s="3">
        <v>-10.9</v>
      </c>
      <c r="S23" s="3">
        <v>20.2</v>
      </c>
    </row>
    <row r="24" spans="1:27" hidden="1">
      <c r="A24" s="1" t="s">
        <v>28</v>
      </c>
      <c r="B24" s="2">
        <v>-27.75</v>
      </c>
      <c r="C24" s="2">
        <v>-48.5</v>
      </c>
      <c r="E24" s="1">
        <v>40</v>
      </c>
      <c r="G24" s="1" t="s">
        <v>26</v>
      </c>
      <c r="I24" s="1" t="s">
        <v>41</v>
      </c>
      <c r="J24" s="1" t="s">
        <v>33</v>
      </c>
      <c r="K24" s="1" t="s">
        <v>31</v>
      </c>
      <c r="L24" s="3" t="s">
        <v>80</v>
      </c>
      <c r="M24" s="3" t="s">
        <v>81</v>
      </c>
      <c r="O24" s="3">
        <v>2.93</v>
      </c>
      <c r="R24" s="3">
        <v>-10.9</v>
      </c>
      <c r="S24" s="3">
        <v>19.5</v>
      </c>
    </row>
    <row r="25" spans="1:27" hidden="1">
      <c r="A25" s="1" t="s">
        <v>28</v>
      </c>
      <c r="B25" s="2">
        <v>-27.75</v>
      </c>
      <c r="C25" s="2">
        <v>-48.5</v>
      </c>
      <c r="E25" s="1">
        <v>43</v>
      </c>
      <c r="G25" s="1" t="s">
        <v>26</v>
      </c>
      <c r="I25" s="1" t="s">
        <v>41</v>
      </c>
      <c r="J25" s="1" t="s">
        <v>33</v>
      </c>
      <c r="K25" s="1" t="s">
        <v>31</v>
      </c>
      <c r="L25" s="3" t="s">
        <v>82</v>
      </c>
      <c r="M25" s="3" t="s">
        <v>83</v>
      </c>
      <c r="O25" s="3">
        <v>3.02</v>
      </c>
      <c r="R25" s="3">
        <v>-11.3</v>
      </c>
      <c r="S25" s="3">
        <v>18.7</v>
      </c>
    </row>
    <row r="26" spans="1:27" hidden="1">
      <c r="A26" s="1" t="s">
        <v>28</v>
      </c>
      <c r="B26" s="2">
        <v>-27.75</v>
      </c>
      <c r="C26" s="2">
        <v>-48.5</v>
      </c>
      <c r="E26" s="1">
        <v>45</v>
      </c>
      <c r="G26" s="1" t="s">
        <v>26</v>
      </c>
      <c r="I26" s="1" t="s">
        <v>41</v>
      </c>
      <c r="J26" s="1" t="s">
        <v>42</v>
      </c>
      <c r="K26" s="1" t="s">
        <v>84</v>
      </c>
      <c r="L26" s="3" t="s">
        <v>85</v>
      </c>
      <c r="M26" s="3" t="s">
        <v>86</v>
      </c>
      <c r="O26" s="3">
        <v>2.87</v>
      </c>
      <c r="R26" s="3">
        <v>-11.4</v>
      </c>
      <c r="S26" s="3">
        <v>17.600000000000001</v>
      </c>
    </row>
    <row r="27" spans="1:27" s="7" customFormat="1" hidden="1">
      <c r="A27" s="1" t="s">
        <v>28</v>
      </c>
      <c r="B27" s="2">
        <v>-27.75</v>
      </c>
      <c r="C27" s="2">
        <v>-48.5</v>
      </c>
      <c r="D27" s="1"/>
      <c r="E27" s="1">
        <v>49</v>
      </c>
      <c r="F27" s="1"/>
      <c r="G27" s="1" t="s">
        <v>26</v>
      </c>
      <c r="H27" s="1"/>
      <c r="I27" s="1" t="s">
        <v>32</v>
      </c>
      <c r="J27" s="1" t="s">
        <v>42</v>
      </c>
      <c r="K27" s="1" t="s">
        <v>31</v>
      </c>
      <c r="L27" s="3" t="s">
        <v>87</v>
      </c>
      <c r="M27" s="3" t="s">
        <v>88</v>
      </c>
      <c r="N27" s="1"/>
      <c r="O27" s="3">
        <v>2.92</v>
      </c>
      <c r="P27" s="1"/>
      <c r="Q27" s="1"/>
      <c r="R27" s="3">
        <v>-12.2</v>
      </c>
      <c r="S27" s="3">
        <v>18</v>
      </c>
      <c r="T27" s="1"/>
      <c r="U27" s="1"/>
      <c r="V27" s="1"/>
      <c r="W27" s="1"/>
      <c r="X27" s="1"/>
      <c r="Y27" s="1"/>
      <c r="Z27" s="1"/>
      <c r="AA27" s="1"/>
    </row>
    <row r="28" spans="1:27" s="7" customFormat="1" hidden="1">
      <c r="A28" s="1" t="s">
        <v>28</v>
      </c>
      <c r="B28" s="2">
        <v>-27.75</v>
      </c>
      <c r="C28" s="2">
        <v>-48.5</v>
      </c>
      <c r="D28" s="1"/>
      <c r="E28" s="1">
        <v>51</v>
      </c>
      <c r="F28" s="1"/>
      <c r="G28" s="1" t="s">
        <v>26</v>
      </c>
      <c r="H28" s="1"/>
      <c r="I28" s="1" t="s">
        <v>36</v>
      </c>
      <c r="J28" s="1" t="s">
        <v>33</v>
      </c>
      <c r="K28" s="1" t="s">
        <v>31</v>
      </c>
      <c r="L28" s="3" t="s">
        <v>89</v>
      </c>
      <c r="M28" s="3" t="s">
        <v>57</v>
      </c>
      <c r="N28" s="1"/>
      <c r="O28" s="3">
        <v>2.87</v>
      </c>
      <c r="P28" s="1"/>
      <c r="Q28" s="1"/>
      <c r="R28" s="3">
        <v>-10.4</v>
      </c>
      <c r="S28" s="3">
        <v>19.5</v>
      </c>
      <c r="T28" s="1"/>
      <c r="U28" s="1"/>
      <c r="V28" s="1"/>
      <c r="W28" s="1"/>
      <c r="X28" s="1"/>
      <c r="Y28" s="1"/>
      <c r="Z28" s="1"/>
      <c r="AA28" s="1"/>
    </row>
    <row r="29" spans="1:27" s="7" customFormat="1" hidden="1">
      <c r="A29" s="1" t="s">
        <v>28</v>
      </c>
      <c r="B29" s="2">
        <v>-27.75</v>
      </c>
      <c r="C29" s="2">
        <v>-48.5</v>
      </c>
      <c r="D29" s="1"/>
      <c r="E29" s="1">
        <v>52</v>
      </c>
      <c r="F29" s="1"/>
      <c r="G29" s="1" t="s">
        <v>26</v>
      </c>
      <c r="H29" s="1"/>
      <c r="I29" s="1" t="s">
        <v>36</v>
      </c>
      <c r="J29" s="1" t="s">
        <v>42</v>
      </c>
      <c r="K29" s="1" t="s">
        <v>90</v>
      </c>
      <c r="L29" s="3" t="s">
        <v>91</v>
      </c>
      <c r="M29" s="3" t="s">
        <v>92</v>
      </c>
      <c r="N29" s="1"/>
      <c r="O29" s="3">
        <v>2.89</v>
      </c>
      <c r="P29" s="1"/>
      <c r="Q29" s="1"/>
      <c r="R29" s="3">
        <v>-11.9</v>
      </c>
      <c r="S29" s="3">
        <v>16.3</v>
      </c>
      <c r="T29" s="1"/>
      <c r="U29" s="1"/>
      <c r="V29" s="1"/>
      <c r="W29" s="1"/>
      <c r="X29" s="1"/>
      <c r="Y29" s="1"/>
      <c r="Z29" s="1"/>
      <c r="AA29" s="1"/>
    </row>
    <row r="30" spans="1:27" s="7" customFormat="1" hidden="1">
      <c r="A30" s="1" t="s">
        <v>28</v>
      </c>
      <c r="B30" s="2">
        <v>-27.75</v>
      </c>
      <c r="C30" s="2">
        <v>-48.5</v>
      </c>
      <c r="D30" s="1"/>
      <c r="E30" s="1">
        <v>54</v>
      </c>
      <c r="F30" s="1"/>
      <c r="G30" s="1" t="s">
        <v>26</v>
      </c>
      <c r="H30" s="1"/>
      <c r="I30" s="1" t="s">
        <v>41</v>
      </c>
      <c r="J30" s="1" t="s">
        <v>93</v>
      </c>
      <c r="K30" s="1" t="s">
        <v>94</v>
      </c>
      <c r="L30" s="3" t="s">
        <v>95</v>
      </c>
      <c r="M30" s="3" t="s">
        <v>96</v>
      </c>
      <c r="N30" s="1"/>
      <c r="O30" s="3">
        <v>2.9</v>
      </c>
      <c r="P30" s="1"/>
      <c r="Q30" s="1"/>
      <c r="R30" s="3">
        <v>-12.2</v>
      </c>
      <c r="S30" s="3">
        <v>19.399999999999999</v>
      </c>
      <c r="T30" s="1"/>
      <c r="U30" s="1"/>
      <c r="V30" s="1"/>
      <c r="W30" s="1"/>
      <c r="X30" s="1"/>
      <c r="Y30" s="1"/>
      <c r="Z30" s="1"/>
      <c r="AA30" s="1"/>
    </row>
    <row r="31" spans="1:27" s="7" customFormat="1" hidden="1">
      <c r="A31" s="1" t="s">
        <v>28</v>
      </c>
      <c r="B31" s="2">
        <v>-27.75</v>
      </c>
      <c r="C31" s="2">
        <v>-48.5</v>
      </c>
      <c r="D31" s="1"/>
      <c r="E31" s="1">
        <v>58</v>
      </c>
      <c r="F31" s="1"/>
      <c r="G31" s="1" t="s">
        <v>26</v>
      </c>
      <c r="H31" s="1"/>
      <c r="I31" s="1" t="s">
        <v>41</v>
      </c>
      <c r="J31" s="2" t="s">
        <v>20</v>
      </c>
      <c r="K31" s="1" t="s">
        <v>94</v>
      </c>
      <c r="L31" s="3" t="s">
        <v>97</v>
      </c>
      <c r="M31" s="3" t="s">
        <v>98</v>
      </c>
      <c r="N31" s="1"/>
      <c r="O31" s="3">
        <v>2.87</v>
      </c>
      <c r="P31" s="1"/>
      <c r="Q31" s="1"/>
      <c r="R31" s="3">
        <v>-11.3</v>
      </c>
      <c r="S31" s="3">
        <v>18.600000000000001</v>
      </c>
      <c r="T31" s="1"/>
      <c r="U31" s="1"/>
      <c r="V31" s="1"/>
      <c r="W31" s="1"/>
      <c r="X31" s="1"/>
      <c r="Y31" s="1"/>
      <c r="Z31" s="1"/>
      <c r="AA31" s="1"/>
    </row>
    <row r="32" spans="1:27" s="7" customFormat="1" hidden="1">
      <c r="A32" s="1" t="s">
        <v>28</v>
      </c>
      <c r="B32" s="2">
        <v>-27.75</v>
      </c>
      <c r="C32" s="2">
        <v>-48.5</v>
      </c>
      <c r="D32" s="1"/>
      <c r="E32" s="1">
        <v>61</v>
      </c>
      <c r="F32" s="1"/>
      <c r="G32" s="1" t="s">
        <v>26</v>
      </c>
      <c r="H32" s="1"/>
      <c r="I32" s="1" t="s">
        <v>41</v>
      </c>
      <c r="J32" s="1" t="s">
        <v>33</v>
      </c>
      <c r="K32" s="1" t="s">
        <v>43</v>
      </c>
      <c r="L32" s="3" t="s">
        <v>99</v>
      </c>
      <c r="M32" s="3" t="s">
        <v>100</v>
      </c>
      <c r="N32" s="1"/>
      <c r="O32" s="3">
        <v>2.92</v>
      </c>
      <c r="P32" s="1"/>
      <c r="Q32" s="1"/>
      <c r="R32" s="3">
        <v>-11.4</v>
      </c>
      <c r="S32" s="3">
        <v>17.899999999999999</v>
      </c>
      <c r="T32" s="1"/>
      <c r="U32" s="1"/>
      <c r="V32" s="1"/>
      <c r="W32" s="1"/>
      <c r="X32" s="1"/>
      <c r="Y32" s="1"/>
      <c r="Z32" s="1"/>
      <c r="AA32" s="1"/>
    </row>
    <row r="33" spans="1:27" s="7" customFormat="1" hidden="1">
      <c r="A33" s="1" t="s">
        <v>28</v>
      </c>
      <c r="B33" s="2">
        <v>-27.75</v>
      </c>
      <c r="C33" s="2">
        <v>-48.5</v>
      </c>
      <c r="D33" s="1"/>
      <c r="E33" s="1">
        <v>66</v>
      </c>
      <c r="F33" s="1"/>
      <c r="G33" s="1" t="s">
        <v>26</v>
      </c>
      <c r="H33" s="1"/>
      <c r="I33" s="1" t="s">
        <v>77</v>
      </c>
      <c r="J33" s="2" t="s">
        <v>20</v>
      </c>
      <c r="K33" s="1" t="s">
        <v>31</v>
      </c>
      <c r="L33" s="3" t="s">
        <v>101</v>
      </c>
      <c r="M33" s="3" t="s">
        <v>102</v>
      </c>
      <c r="N33" s="1"/>
      <c r="O33" s="3">
        <v>2.9</v>
      </c>
      <c r="P33" s="1"/>
      <c r="Q33" s="1"/>
      <c r="R33" s="3">
        <v>-11.3</v>
      </c>
      <c r="S33" s="3">
        <v>18.2</v>
      </c>
      <c r="T33" s="1"/>
      <c r="U33" s="1"/>
      <c r="V33" s="1"/>
      <c r="W33" s="1"/>
      <c r="X33" s="1"/>
      <c r="Y33" s="1"/>
      <c r="Z33" s="1"/>
      <c r="AA33" s="1"/>
    </row>
    <row r="34" spans="1:27" hidden="1">
      <c r="A34" s="1" t="s">
        <v>28</v>
      </c>
      <c r="B34" s="2">
        <v>-27.75</v>
      </c>
      <c r="C34" s="2">
        <v>-48.5</v>
      </c>
      <c r="E34" s="1">
        <v>67</v>
      </c>
      <c r="G34" s="1" t="s">
        <v>26</v>
      </c>
      <c r="I34" s="1" t="s">
        <v>77</v>
      </c>
      <c r="J34" s="2" t="s">
        <v>20</v>
      </c>
      <c r="K34" s="1" t="s">
        <v>31</v>
      </c>
      <c r="L34" s="3" t="s">
        <v>103</v>
      </c>
      <c r="M34" s="3" t="s">
        <v>104</v>
      </c>
      <c r="O34" s="3">
        <v>3.03</v>
      </c>
      <c r="R34" s="3">
        <v>-11.8</v>
      </c>
      <c r="S34" s="3">
        <v>18.100000000000001</v>
      </c>
    </row>
    <row r="35" spans="1:27" hidden="1">
      <c r="A35" s="1" t="s">
        <v>28</v>
      </c>
      <c r="B35" s="2">
        <v>-27.75</v>
      </c>
      <c r="C35" s="2">
        <v>-48.5</v>
      </c>
      <c r="E35" s="1">
        <v>69</v>
      </c>
      <c r="G35" s="1" t="s">
        <v>26</v>
      </c>
      <c r="I35" s="1" t="s">
        <v>77</v>
      </c>
      <c r="J35" s="2" t="s">
        <v>20</v>
      </c>
      <c r="K35" s="1" t="s">
        <v>31</v>
      </c>
      <c r="L35" s="3" t="s">
        <v>105</v>
      </c>
      <c r="M35" s="3" t="s">
        <v>106</v>
      </c>
      <c r="O35" s="3">
        <v>2.94</v>
      </c>
      <c r="R35" s="3">
        <v>-11.8</v>
      </c>
      <c r="S35" s="3">
        <v>20.8</v>
      </c>
    </row>
    <row r="36" spans="1:27" hidden="1">
      <c r="A36" s="1" t="s">
        <v>28</v>
      </c>
      <c r="B36" s="2">
        <v>-27.75</v>
      </c>
      <c r="C36" s="2">
        <v>-48.5</v>
      </c>
      <c r="E36" s="1">
        <v>71</v>
      </c>
      <c r="G36" s="1" t="s">
        <v>26</v>
      </c>
      <c r="I36" s="1" t="s">
        <v>36</v>
      </c>
      <c r="J36" s="1" t="s">
        <v>33</v>
      </c>
      <c r="K36" s="1" t="s">
        <v>43</v>
      </c>
      <c r="L36" s="3" t="s">
        <v>107</v>
      </c>
      <c r="M36" s="3" t="s">
        <v>108</v>
      </c>
      <c r="O36" s="3">
        <v>2.9</v>
      </c>
      <c r="R36" s="3">
        <v>-11.4</v>
      </c>
      <c r="S36" s="3">
        <v>17.899999999999999</v>
      </c>
    </row>
    <row r="37" spans="1:27" hidden="1">
      <c r="A37" s="1" t="s">
        <v>28</v>
      </c>
      <c r="B37" s="2">
        <v>-27.75</v>
      </c>
      <c r="C37" s="2">
        <v>-48.5</v>
      </c>
      <c r="E37" s="1">
        <v>74</v>
      </c>
      <c r="G37" s="1" t="s">
        <v>26</v>
      </c>
      <c r="I37" s="1" t="s">
        <v>36</v>
      </c>
      <c r="J37" s="1" t="s">
        <v>33</v>
      </c>
      <c r="K37" s="1" t="s">
        <v>94</v>
      </c>
      <c r="L37" s="3" t="s">
        <v>109</v>
      </c>
      <c r="M37" s="3" t="s">
        <v>110</v>
      </c>
      <c r="O37" s="3">
        <v>2.98</v>
      </c>
      <c r="R37" s="3">
        <v>-12.5</v>
      </c>
      <c r="S37" s="3">
        <v>17.5</v>
      </c>
    </row>
    <row r="38" spans="1:27" hidden="1">
      <c r="A38" s="1" t="s">
        <v>28</v>
      </c>
      <c r="B38" s="2">
        <v>-27.75</v>
      </c>
      <c r="C38" s="2">
        <v>-48.5</v>
      </c>
      <c r="E38" s="1">
        <v>78</v>
      </c>
      <c r="G38" s="1" t="s">
        <v>26</v>
      </c>
      <c r="I38" s="1" t="s">
        <v>41</v>
      </c>
      <c r="J38" s="1" t="s">
        <v>33</v>
      </c>
      <c r="K38" s="1" t="s">
        <v>43</v>
      </c>
      <c r="L38" s="3" t="s">
        <v>111</v>
      </c>
      <c r="M38" s="3" t="s">
        <v>112</v>
      </c>
      <c r="O38" s="3">
        <v>2.98</v>
      </c>
      <c r="R38" s="3">
        <v>-12.1</v>
      </c>
      <c r="S38" s="3">
        <v>18</v>
      </c>
    </row>
    <row r="39" spans="1:27" s="7" customFormat="1" hidden="1">
      <c r="A39" s="7" t="s">
        <v>113</v>
      </c>
      <c r="B39" s="2"/>
      <c r="C39" s="2"/>
      <c r="D39" s="1" t="s">
        <v>114</v>
      </c>
      <c r="E39" s="1" t="s">
        <v>115</v>
      </c>
      <c r="F39" s="1"/>
      <c r="G39" s="2" t="s">
        <v>116</v>
      </c>
      <c r="H39" s="1"/>
      <c r="I39" s="2" t="s">
        <v>20</v>
      </c>
      <c r="J39" s="2" t="s">
        <v>20</v>
      </c>
      <c r="K39" s="2" t="s">
        <v>20</v>
      </c>
      <c r="L39" s="3">
        <v>41.7</v>
      </c>
      <c r="M39" s="3">
        <v>14.6</v>
      </c>
      <c r="N39" s="3">
        <v>0.2</v>
      </c>
      <c r="O39" s="3">
        <v>3.3</v>
      </c>
      <c r="P39" s="6">
        <v>556</v>
      </c>
      <c r="Q39" s="6">
        <f t="shared" ref="Q39:Q56" si="0">M39/N39*32/14</f>
        <v>166.85714285714286</v>
      </c>
      <c r="R39" s="1">
        <v>-22.4</v>
      </c>
      <c r="S39" s="1">
        <v>13.2</v>
      </c>
      <c r="T39" s="1">
        <v>8.6</v>
      </c>
      <c r="U39" s="1">
        <f t="shared" ref="U39:U56" si="1">R39-1</f>
        <v>-23.4</v>
      </c>
      <c r="V39" s="1">
        <f t="shared" ref="V39:V56" si="2">S39-3.4</f>
        <v>9.7999999999999989</v>
      </c>
      <c r="W39" s="1">
        <f t="shared" ref="W39:W56" si="3">T39+1.5</f>
        <v>10.1</v>
      </c>
      <c r="X39" s="1" t="s">
        <v>11</v>
      </c>
      <c r="Y39" s="1" t="s">
        <v>12</v>
      </c>
      <c r="Z39" s="1" t="s">
        <v>888</v>
      </c>
      <c r="AA39" s="1"/>
    </row>
    <row r="40" spans="1:27" s="7" customFormat="1" hidden="1">
      <c r="A40" s="7" t="s">
        <v>113</v>
      </c>
      <c r="B40" s="2"/>
      <c r="C40" s="2"/>
      <c r="D40" s="1" t="s">
        <v>117</v>
      </c>
      <c r="E40" s="1" t="s">
        <v>118</v>
      </c>
      <c r="F40" s="1"/>
      <c r="G40" s="2" t="s">
        <v>116</v>
      </c>
      <c r="H40" s="1"/>
      <c r="I40" s="2" t="s">
        <v>20</v>
      </c>
      <c r="J40" s="2" t="s">
        <v>20</v>
      </c>
      <c r="K40" s="2" t="s">
        <v>20</v>
      </c>
      <c r="L40" s="3">
        <v>39.700000000000003</v>
      </c>
      <c r="M40" s="3">
        <v>14.2</v>
      </c>
      <c r="N40" s="3">
        <v>0.24</v>
      </c>
      <c r="O40" s="3">
        <v>3.3</v>
      </c>
      <c r="P40" s="6">
        <v>441.11111111111114</v>
      </c>
      <c r="Q40" s="6">
        <f t="shared" si="0"/>
        <v>135.23809523809524</v>
      </c>
      <c r="R40" s="1">
        <v>-13.2</v>
      </c>
      <c r="S40" s="1">
        <v>13.4</v>
      </c>
      <c r="T40" s="1">
        <v>7.5</v>
      </c>
      <c r="U40" s="1">
        <f t="shared" si="1"/>
        <v>-14.2</v>
      </c>
      <c r="V40" s="1">
        <f t="shared" si="2"/>
        <v>10</v>
      </c>
      <c r="W40" s="1">
        <f t="shared" si="3"/>
        <v>9</v>
      </c>
      <c r="X40" s="1" t="s">
        <v>11</v>
      </c>
      <c r="Y40" s="1" t="s">
        <v>12</v>
      </c>
      <c r="Z40" s="1" t="s">
        <v>888</v>
      </c>
      <c r="AA40" s="1"/>
    </row>
    <row r="41" spans="1:27" s="7" customFormat="1" hidden="1">
      <c r="A41" s="7" t="s">
        <v>113</v>
      </c>
      <c r="B41" s="2"/>
      <c r="C41" s="2"/>
      <c r="D41" s="1" t="s">
        <v>119</v>
      </c>
      <c r="E41" s="1" t="s">
        <v>120</v>
      </c>
      <c r="F41" s="1"/>
      <c r="G41" s="2" t="s">
        <v>116</v>
      </c>
      <c r="H41" s="1"/>
      <c r="I41" s="2" t="s">
        <v>20</v>
      </c>
      <c r="J41" s="2" t="s">
        <v>20</v>
      </c>
      <c r="K41" s="2" t="s">
        <v>20</v>
      </c>
      <c r="L41" s="3">
        <v>41.2</v>
      </c>
      <c r="M41" s="3">
        <v>14.5</v>
      </c>
      <c r="N41" s="3">
        <v>0.22</v>
      </c>
      <c r="O41" s="3">
        <v>3.3</v>
      </c>
      <c r="P41" s="6">
        <v>499.39393939393943</v>
      </c>
      <c r="Q41" s="6">
        <f t="shared" si="0"/>
        <v>150.64935064935065</v>
      </c>
      <c r="R41" s="1">
        <v>-19.3</v>
      </c>
      <c r="S41" s="1">
        <v>13.7</v>
      </c>
      <c r="T41" s="1">
        <v>10.199999999999999</v>
      </c>
      <c r="U41" s="1">
        <f t="shared" si="1"/>
        <v>-20.3</v>
      </c>
      <c r="V41" s="1">
        <f t="shared" si="2"/>
        <v>10.299999999999999</v>
      </c>
      <c r="W41" s="1">
        <f t="shared" si="3"/>
        <v>11.7</v>
      </c>
      <c r="X41" s="1" t="s">
        <v>11</v>
      </c>
      <c r="Y41" s="1" t="s">
        <v>12</v>
      </c>
      <c r="Z41" s="1" t="s">
        <v>888</v>
      </c>
      <c r="AA41" s="1"/>
    </row>
    <row r="42" spans="1:27" s="7" customFormat="1" hidden="1">
      <c r="A42" s="7" t="s">
        <v>113</v>
      </c>
      <c r="B42" s="2"/>
      <c r="C42" s="2"/>
      <c r="D42" s="1" t="s">
        <v>121</v>
      </c>
      <c r="E42" s="1" t="s">
        <v>122</v>
      </c>
      <c r="F42" s="1"/>
      <c r="G42" s="2" t="s">
        <v>116</v>
      </c>
      <c r="H42" s="1"/>
      <c r="I42" s="2" t="s">
        <v>20</v>
      </c>
      <c r="J42" s="2" t="s">
        <v>20</v>
      </c>
      <c r="K42" s="1" t="s">
        <v>123</v>
      </c>
      <c r="L42" s="3">
        <v>41.4</v>
      </c>
      <c r="M42" s="3">
        <v>14.4</v>
      </c>
      <c r="N42" s="3">
        <v>0.18</v>
      </c>
      <c r="O42" s="3">
        <v>3.4</v>
      </c>
      <c r="P42" s="6">
        <v>613.33333333333337</v>
      </c>
      <c r="Q42" s="6">
        <f t="shared" si="0"/>
        <v>182.85714285714286</v>
      </c>
      <c r="R42" s="3">
        <v>-14.4</v>
      </c>
      <c r="S42" s="3">
        <v>13.6</v>
      </c>
      <c r="T42" s="3">
        <v>10.4</v>
      </c>
      <c r="U42" s="1">
        <f t="shared" si="1"/>
        <v>-15.4</v>
      </c>
      <c r="V42" s="1">
        <f t="shared" si="2"/>
        <v>10.199999999999999</v>
      </c>
      <c r="W42" s="1">
        <f t="shared" si="3"/>
        <v>11.9</v>
      </c>
      <c r="X42" s="3" t="s">
        <v>11</v>
      </c>
      <c r="Y42" s="1" t="s">
        <v>12</v>
      </c>
      <c r="Z42" s="1" t="s">
        <v>888</v>
      </c>
      <c r="AA42" s="1"/>
    </row>
    <row r="43" spans="1:27" s="7" customFormat="1" hidden="1">
      <c r="A43" s="7" t="s">
        <v>113</v>
      </c>
      <c r="B43" s="2"/>
      <c r="C43" s="2"/>
      <c r="D43" s="1" t="s">
        <v>124</v>
      </c>
      <c r="E43" s="1" t="s">
        <v>125</v>
      </c>
      <c r="F43" s="1"/>
      <c r="G43" s="2" t="s">
        <v>116</v>
      </c>
      <c r="H43" s="1"/>
      <c r="I43" s="2" t="s">
        <v>20</v>
      </c>
      <c r="J43" s="2" t="s">
        <v>20</v>
      </c>
      <c r="K43" s="2" t="s">
        <v>20</v>
      </c>
      <c r="L43" s="3">
        <v>42.6</v>
      </c>
      <c r="M43" s="3">
        <v>15</v>
      </c>
      <c r="N43" s="3">
        <v>0.22</v>
      </c>
      <c r="O43" s="3">
        <v>3.3</v>
      </c>
      <c r="P43" s="6">
        <v>516.36363636363637</v>
      </c>
      <c r="Q43" s="6">
        <f t="shared" si="0"/>
        <v>155.84415584415586</v>
      </c>
      <c r="R43" s="3">
        <v>-13.6</v>
      </c>
      <c r="S43" s="3">
        <v>14.9</v>
      </c>
      <c r="T43" s="3">
        <v>8.6</v>
      </c>
      <c r="U43" s="1">
        <f t="shared" si="1"/>
        <v>-14.6</v>
      </c>
      <c r="V43" s="1">
        <f t="shared" si="2"/>
        <v>11.5</v>
      </c>
      <c r="W43" s="1">
        <f t="shared" si="3"/>
        <v>10.1</v>
      </c>
      <c r="X43" s="3" t="s">
        <v>11</v>
      </c>
      <c r="Y43" s="1" t="s">
        <v>12</v>
      </c>
      <c r="Z43" s="1" t="s">
        <v>888</v>
      </c>
      <c r="AA43" s="1"/>
    </row>
    <row r="44" spans="1:27" hidden="1">
      <c r="A44" s="7" t="s">
        <v>113</v>
      </c>
      <c r="D44" s="1" t="s">
        <v>126</v>
      </c>
      <c r="E44" s="1" t="s">
        <v>127</v>
      </c>
      <c r="G44" s="2" t="s">
        <v>116</v>
      </c>
      <c r="I44" s="2" t="s">
        <v>20</v>
      </c>
      <c r="J44" s="2" t="s">
        <v>20</v>
      </c>
      <c r="K44" s="2" t="s">
        <v>20</v>
      </c>
      <c r="L44" s="3">
        <v>37.9</v>
      </c>
      <c r="M44" s="3">
        <v>13.6</v>
      </c>
      <c r="N44" s="3">
        <v>0.23</v>
      </c>
      <c r="O44" s="3">
        <v>3.2</v>
      </c>
      <c r="P44" s="6">
        <v>439.42028985507244</v>
      </c>
      <c r="Q44" s="6">
        <f t="shared" si="0"/>
        <v>135.15527950310556</v>
      </c>
      <c r="R44" s="3">
        <v>-14.1</v>
      </c>
      <c r="S44" s="3">
        <v>15.1</v>
      </c>
      <c r="T44" s="3">
        <v>9.6999999999999993</v>
      </c>
      <c r="U44" s="1">
        <f t="shared" si="1"/>
        <v>-15.1</v>
      </c>
      <c r="V44" s="1">
        <f t="shared" si="2"/>
        <v>11.7</v>
      </c>
      <c r="W44" s="1">
        <f t="shared" si="3"/>
        <v>11.2</v>
      </c>
      <c r="X44" s="3" t="s">
        <v>11</v>
      </c>
      <c r="Y44" s="1" t="s">
        <v>12</v>
      </c>
      <c r="Z44" s="1" t="s">
        <v>888</v>
      </c>
    </row>
    <row r="45" spans="1:27" hidden="1">
      <c r="A45" s="7" t="s">
        <v>113</v>
      </c>
      <c r="D45" s="1" t="s">
        <v>128</v>
      </c>
      <c r="E45" s="1" t="s">
        <v>129</v>
      </c>
      <c r="G45" s="2" t="s">
        <v>116</v>
      </c>
      <c r="I45" s="2" t="s">
        <v>20</v>
      </c>
      <c r="J45" s="2" t="s">
        <v>20</v>
      </c>
      <c r="K45" s="1" t="s">
        <v>130</v>
      </c>
      <c r="L45" s="3">
        <v>38.4</v>
      </c>
      <c r="M45" s="3">
        <v>13</v>
      </c>
      <c r="N45" s="3">
        <v>0.22</v>
      </c>
      <c r="O45" s="3">
        <v>3.4</v>
      </c>
      <c r="P45" s="6">
        <v>465.45454545454544</v>
      </c>
      <c r="Q45" s="6">
        <f t="shared" si="0"/>
        <v>135.06493506493507</v>
      </c>
      <c r="R45" s="3">
        <v>-10.5</v>
      </c>
      <c r="S45" s="3">
        <v>16</v>
      </c>
      <c r="T45" s="3">
        <v>10.199999999999999</v>
      </c>
      <c r="U45" s="1">
        <f t="shared" si="1"/>
        <v>-11.5</v>
      </c>
      <c r="V45" s="1">
        <f t="shared" si="2"/>
        <v>12.6</v>
      </c>
      <c r="W45" s="1">
        <f t="shared" si="3"/>
        <v>11.7</v>
      </c>
      <c r="X45" s="3" t="s">
        <v>11</v>
      </c>
      <c r="Y45" s="1" t="s">
        <v>12</v>
      </c>
      <c r="Z45" s="1" t="s">
        <v>888</v>
      </c>
    </row>
    <row r="46" spans="1:27" hidden="1">
      <c r="A46" s="1" t="s">
        <v>15</v>
      </c>
      <c r="B46" s="2">
        <v>-26.459800000000001</v>
      </c>
      <c r="C46" s="2">
        <v>-48.610199999999999</v>
      </c>
      <c r="D46" s="1" t="s">
        <v>131</v>
      </c>
      <c r="E46" s="1" t="s">
        <v>132</v>
      </c>
      <c r="G46" s="1" t="s">
        <v>26</v>
      </c>
      <c r="I46" s="2" t="s">
        <v>20</v>
      </c>
      <c r="J46" s="2" t="s">
        <v>20</v>
      </c>
      <c r="K46" s="1" t="s">
        <v>31</v>
      </c>
      <c r="L46" s="3">
        <v>40.1</v>
      </c>
      <c r="M46" s="3">
        <v>14.3</v>
      </c>
      <c r="N46" s="3">
        <v>0.19</v>
      </c>
      <c r="O46" s="3">
        <v>3.3</v>
      </c>
      <c r="P46" s="6">
        <v>562.80701754385962</v>
      </c>
      <c r="Q46" s="6">
        <f t="shared" si="0"/>
        <v>172.03007518796994</v>
      </c>
      <c r="R46" s="3">
        <v>-15.1</v>
      </c>
      <c r="S46" s="3">
        <v>14.4</v>
      </c>
      <c r="T46" s="3">
        <v>7.8</v>
      </c>
      <c r="U46" s="1">
        <f t="shared" si="1"/>
        <v>-16.100000000000001</v>
      </c>
      <c r="V46" s="1">
        <f t="shared" si="2"/>
        <v>11</v>
      </c>
      <c r="W46" s="1">
        <f t="shared" si="3"/>
        <v>9.3000000000000007</v>
      </c>
      <c r="X46" s="3" t="s">
        <v>11</v>
      </c>
      <c r="Y46" s="1" t="s">
        <v>12</v>
      </c>
      <c r="Z46" s="1" t="s">
        <v>888</v>
      </c>
    </row>
    <row r="47" spans="1:27" hidden="1">
      <c r="A47" s="1" t="s">
        <v>15</v>
      </c>
      <c r="B47" s="2">
        <v>-26.459800000000001</v>
      </c>
      <c r="C47" s="2">
        <v>-48.610199999999999</v>
      </c>
      <c r="D47" s="1" t="s">
        <v>133</v>
      </c>
      <c r="E47" s="1" t="s">
        <v>134</v>
      </c>
      <c r="G47" s="1" t="s">
        <v>26</v>
      </c>
      <c r="I47" s="2" t="s">
        <v>20</v>
      </c>
      <c r="J47" s="2" t="s">
        <v>20</v>
      </c>
      <c r="K47" s="1" t="s">
        <v>31</v>
      </c>
      <c r="L47" s="3">
        <v>36.299999999999997</v>
      </c>
      <c r="M47" s="3">
        <v>12.6</v>
      </c>
      <c r="N47" s="3">
        <v>0.2</v>
      </c>
      <c r="O47" s="3">
        <v>3.4</v>
      </c>
      <c r="P47" s="6">
        <v>483.99999999999994</v>
      </c>
      <c r="Q47" s="6">
        <f t="shared" si="0"/>
        <v>143.99999999999997</v>
      </c>
      <c r="R47" s="3">
        <v>-13.5</v>
      </c>
      <c r="S47" s="3">
        <v>16.5</v>
      </c>
      <c r="T47" s="3">
        <v>10.1</v>
      </c>
      <c r="U47" s="1">
        <f t="shared" si="1"/>
        <v>-14.5</v>
      </c>
      <c r="V47" s="1">
        <f t="shared" si="2"/>
        <v>13.1</v>
      </c>
      <c r="W47" s="1">
        <f t="shared" si="3"/>
        <v>11.6</v>
      </c>
      <c r="X47" s="3" t="s">
        <v>11</v>
      </c>
      <c r="Y47" s="1" t="s">
        <v>12</v>
      </c>
      <c r="Z47" s="1" t="s">
        <v>888</v>
      </c>
    </row>
    <row r="48" spans="1:27" hidden="1">
      <c r="A48" s="1" t="s">
        <v>135</v>
      </c>
      <c r="B48" s="2">
        <v>-28.428339000000001</v>
      </c>
      <c r="C48" s="2">
        <v>-48.8293593</v>
      </c>
      <c r="D48" s="1" t="s">
        <v>136</v>
      </c>
      <c r="E48" s="1" t="s">
        <v>137</v>
      </c>
      <c r="G48" s="1" t="s">
        <v>26</v>
      </c>
      <c r="H48" s="1" t="s">
        <v>138</v>
      </c>
      <c r="I48" s="1" t="s">
        <v>139</v>
      </c>
      <c r="J48" s="2" t="s">
        <v>20</v>
      </c>
      <c r="K48" s="1" t="s">
        <v>31</v>
      </c>
      <c r="L48" s="3">
        <v>42.9</v>
      </c>
      <c r="M48" s="3">
        <v>15.2</v>
      </c>
      <c r="N48" s="3">
        <v>0.18</v>
      </c>
      <c r="O48" s="3">
        <v>3.3</v>
      </c>
      <c r="P48" s="6">
        <v>635.55555555555554</v>
      </c>
      <c r="Q48" s="6">
        <f t="shared" si="0"/>
        <v>193.01587301587301</v>
      </c>
      <c r="R48" s="3">
        <v>-10.4</v>
      </c>
      <c r="S48" s="3">
        <v>19.8</v>
      </c>
      <c r="T48" s="3">
        <v>12.2</v>
      </c>
      <c r="U48" s="1">
        <f t="shared" si="1"/>
        <v>-11.4</v>
      </c>
      <c r="V48" s="1">
        <f t="shared" si="2"/>
        <v>16.400000000000002</v>
      </c>
      <c r="W48" s="1">
        <f t="shared" si="3"/>
        <v>13.7</v>
      </c>
      <c r="X48" s="3" t="s">
        <v>14</v>
      </c>
      <c r="Y48" s="1" t="s">
        <v>12</v>
      </c>
      <c r="Z48" s="1" t="s">
        <v>888</v>
      </c>
    </row>
    <row r="49" spans="1:26" hidden="1">
      <c r="A49" s="1" t="s">
        <v>135</v>
      </c>
      <c r="B49" s="2">
        <v>-28.428339000000001</v>
      </c>
      <c r="C49" s="2">
        <v>-48.8293593</v>
      </c>
      <c r="D49" s="1" t="s">
        <v>140</v>
      </c>
      <c r="E49" s="1" t="s">
        <v>141</v>
      </c>
      <c r="G49" s="1" t="s">
        <v>26</v>
      </c>
      <c r="H49" s="1" t="s">
        <v>142</v>
      </c>
      <c r="I49" s="1" t="s">
        <v>143</v>
      </c>
      <c r="J49" s="2" t="s">
        <v>20</v>
      </c>
      <c r="K49" s="1" t="s">
        <v>31</v>
      </c>
      <c r="L49" s="3">
        <v>42.6</v>
      </c>
      <c r="M49" s="3">
        <v>14.9</v>
      </c>
      <c r="N49" s="3">
        <v>0.22</v>
      </c>
      <c r="O49" s="3">
        <v>3.3</v>
      </c>
      <c r="P49" s="6">
        <v>516.36363636363637</v>
      </c>
      <c r="Q49" s="6">
        <f t="shared" si="0"/>
        <v>154.80519480519482</v>
      </c>
      <c r="R49" s="3">
        <v>-10.1</v>
      </c>
      <c r="S49" s="3">
        <v>19.3</v>
      </c>
      <c r="T49" s="3">
        <v>11.7</v>
      </c>
      <c r="U49" s="1">
        <f t="shared" si="1"/>
        <v>-11.1</v>
      </c>
      <c r="V49" s="1">
        <f t="shared" si="2"/>
        <v>15.9</v>
      </c>
      <c r="W49" s="1">
        <f t="shared" si="3"/>
        <v>13.2</v>
      </c>
      <c r="X49" s="3" t="s">
        <v>11</v>
      </c>
      <c r="Y49" s="1" t="s">
        <v>12</v>
      </c>
      <c r="Z49" s="1" t="s">
        <v>888</v>
      </c>
    </row>
    <row r="50" spans="1:26" hidden="1">
      <c r="A50" s="1" t="s">
        <v>135</v>
      </c>
      <c r="B50" s="2">
        <v>-28.428339000000001</v>
      </c>
      <c r="C50" s="2">
        <v>-48.8293593</v>
      </c>
      <c r="D50" s="1" t="s">
        <v>144</v>
      </c>
      <c r="E50" s="1" t="s">
        <v>145</v>
      </c>
      <c r="G50" s="1" t="s">
        <v>26</v>
      </c>
      <c r="H50" s="1" t="s">
        <v>146</v>
      </c>
      <c r="I50" s="1" t="s">
        <v>147</v>
      </c>
      <c r="J50" s="1" t="s">
        <v>42</v>
      </c>
      <c r="K50" s="1" t="s">
        <v>31</v>
      </c>
      <c r="L50" s="3">
        <v>36.200000000000003</v>
      </c>
      <c r="M50" s="3">
        <v>12.9</v>
      </c>
      <c r="N50" s="3">
        <v>0.35</v>
      </c>
      <c r="O50" s="3">
        <v>3.3</v>
      </c>
      <c r="P50" s="6">
        <v>275.80952380952385</v>
      </c>
      <c r="Q50" s="6">
        <f t="shared" si="0"/>
        <v>84.244897959183689</v>
      </c>
      <c r="R50" s="3">
        <v>-10.3</v>
      </c>
      <c r="S50" s="3">
        <v>18.5</v>
      </c>
      <c r="T50" s="3">
        <v>15.3</v>
      </c>
      <c r="U50" s="1">
        <f t="shared" si="1"/>
        <v>-11.3</v>
      </c>
      <c r="V50" s="1">
        <f t="shared" si="2"/>
        <v>15.1</v>
      </c>
      <c r="W50" s="1">
        <f t="shared" si="3"/>
        <v>16.8</v>
      </c>
      <c r="X50" s="3" t="s">
        <v>11</v>
      </c>
      <c r="Y50" s="1" t="s">
        <v>12</v>
      </c>
      <c r="Z50" s="1" t="s">
        <v>888</v>
      </c>
    </row>
    <row r="51" spans="1:26" hidden="1">
      <c r="A51" s="1" t="s">
        <v>135</v>
      </c>
      <c r="B51" s="2">
        <v>-28.428339000000001</v>
      </c>
      <c r="C51" s="2">
        <v>-48.8293593</v>
      </c>
      <c r="D51" s="1" t="s">
        <v>148</v>
      </c>
      <c r="E51" s="1" t="s">
        <v>149</v>
      </c>
      <c r="G51" s="1" t="s">
        <v>26</v>
      </c>
      <c r="H51" s="1" t="s">
        <v>150</v>
      </c>
      <c r="I51" s="1" t="s">
        <v>41</v>
      </c>
      <c r="J51" s="2" t="s">
        <v>20</v>
      </c>
      <c r="K51" s="1" t="s">
        <v>31</v>
      </c>
      <c r="L51" s="3">
        <v>42.6</v>
      </c>
      <c r="M51" s="3">
        <v>14.8</v>
      </c>
      <c r="N51" s="3">
        <v>0.2</v>
      </c>
      <c r="O51" s="3">
        <v>3.4</v>
      </c>
      <c r="P51" s="6">
        <v>568</v>
      </c>
      <c r="Q51" s="6">
        <f t="shared" si="0"/>
        <v>169.14285714285714</v>
      </c>
      <c r="R51" s="3">
        <v>-10.5</v>
      </c>
      <c r="S51" s="3">
        <v>18.5</v>
      </c>
      <c r="T51" s="3">
        <v>11.9</v>
      </c>
      <c r="U51" s="1">
        <f t="shared" si="1"/>
        <v>-11.5</v>
      </c>
      <c r="V51" s="1">
        <f t="shared" si="2"/>
        <v>15.1</v>
      </c>
      <c r="W51" s="1">
        <f t="shared" si="3"/>
        <v>13.4</v>
      </c>
      <c r="X51" s="3" t="s">
        <v>11</v>
      </c>
      <c r="Y51" s="1" t="s">
        <v>12</v>
      </c>
      <c r="Z51" s="1" t="s">
        <v>888</v>
      </c>
    </row>
    <row r="52" spans="1:26" hidden="1">
      <c r="A52" s="1" t="s">
        <v>135</v>
      </c>
      <c r="B52" s="2">
        <v>-28.428339000000001</v>
      </c>
      <c r="C52" s="2">
        <v>-48.8293593</v>
      </c>
      <c r="D52" s="1" t="s">
        <v>151</v>
      </c>
      <c r="E52" s="1" t="s">
        <v>152</v>
      </c>
      <c r="G52" s="1" t="s">
        <v>26</v>
      </c>
      <c r="H52" s="1" t="s">
        <v>153</v>
      </c>
      <c r="I52" s="1" t="s">
        <v>154</v>
      </c>
      <c r="J52" s="2" t="s">
        <v>20</v>
      </c>
      <c r="K52" s="1" t="s">
        <v>31</v>
      </c>
      <c r="L52" s="3">
        <v>43.9</v>
      </c>
      <c r="M52" s="3">
        <v>15.3</v>
      </c>
      <c r="N52" s="3">
        <v>0.18</v>
      </c>
      <c r="O52" s="3">
        <v>3.3</v>
      </c>
      <c r="P52" s="6">
        <v>650.37037037037032</v>
      </c>
      <c r="Q52" s="6">
        <f t="shared" si="0"/>
        <v>194.28571428571428</v>
      </c>
      <c r="R52" s="3">
        <v>-11.2</v>
      </c>
      <c r="S52" s="3">
        <v>19.100000000000001</v>
      </c>
      <c r="T52" s="3">
        <v>12.3</v>
      </c>
      <c r="U52" s="1">
        <f t="shared" si="1"/>
        <v>-12.2</v>
      </c>
      <c r="V52" s="1">
        <f t="shared" si="2"/>
        <v>15.700000000000001</v>
      </c>
      <c r="W52" s="1">
        <f t="shared" si="3"/>
        <v>13.8</v>
      </c>
      <c r="X52" s="3" t="s">
        <v>14</v>
      </c>
      <c r="Y52" s="1" t="s">
        <v>12</v>
      </c>
      <c r="Z52" s="1" t="s">
        <v>888</v>
      </c>
    </row>
    <row r="53" spans="1:26" hidden="1">
      <c r="A53" s="1" t="s">
        <v>135</v>
      </c>
      <c r="B53" s="2">
        <v>-28.428339000000001</v>
      </c>
      <c r="C53" s="2">
        <v>-48.8293593</v>
      </c>
      <c r="D53" s="1" t="s">
        <v>155</v>
      </c>
      <c r="E53" s="1" t="s">
        <v>156</v>
      </c>
      <c r="G53" s="1" t="s">
        <v>26</v>
      </c>
      <c r="H53" s="1" t="s">
        <v>157</v>
      </c>
      <c r="I53" s="1" t="s">
        <v>158</v>
      </c>
      <c r="J53" s="2" t="s">
        <v>20</v>
      </c>
      <c r="K53" s="1" t="s">
        <v>31</v>
      </c>
      <c r="L53" s="3">
        <v>39.299999999999997</v>
      </c>
      <c r="M53" s="3">
        <v>13.4</v>
      </c>
      <c r="N53" s="3">
        <v>0.24</v>
      </c>
      <c r="O53" s="3">
        <v>3.4</v>
      </c>
      <c r="P53" s="6">
        <v>436.66666666666669</v>
      </c>
      <c r="Q53" s="6">
        <f t="shared" si="0"/>
        <v>127.61904761904762</v>
      </c>
      <c r="R53" s="3">
        <v>-10.9</v>
      </c>
      <c r="S53" s="3">
        <v>18.7</v>
      </c>
      <c r="T53" s="3">
        <v>11.4</v>
      </c>
      <c r="U53" s="1">
        <f t="shared" si="1"/>
        <v>-11.9</v>
      </c>
      <c r="V53" s="1">
        <f t="shared" si="2"/>
        <v>15.299999999999999</v>
      </c>
      <c r="W53" s="1">
        <f t="shared" si="3"/>
        <v>12.9</v>
      </c>
      <c r="X53" s="3" t="s">
        <v>11</v>
      </c>
      <c r="Y53" s="1" t="s">
        <v>12</v>
      </c>
      <c r="Z53" s="1" t="s">
        <v>888</v>
      </c>
    </row>
    <row r="54" spans="1:26" hidden="1">
      <c r="A54" s="1" t="s">
        <v>135</v>
      </c>
      <c r="B54" s="2">
        <v>-28.428339000000001</v>
      </c>
      <c r="C54" s="2">
        <v>-48.8293593</v>
      </c>
      <c r="D54" s="1" t="s">
        <v>159</v>
      </c>
      <c r="E54" s="1" t="s">
        <v>160</v>
      </c>
      <c r="G54" s="1" t="s">
        <v>26</v>
      </c>
      <c r="H54" s="1" t="s">
        <v>153</v>
      </c>
      <c r="I54" s="1" t="s">
        <v>158</v>
      </c>
      <c r="J54" s="2" t="s">
        <v>20</v>
      </c>
      <c r="K54" s="1" t="s">
        <v>31</v>
      </c>
      <c r="L54" s="3">
        <v>40.200000000000003</v>
      </c>
      <c r="M54" s="3">
        <v>14.1</v>
      </c>
      <c r="N54" s="3">
        <v>0.22</v>
      </c>
      <c r="O54" s="3">
        <v>3.3</v>
      </c>
      <c r="P54" s="6">
        <v>487.27272727272731</v>
      </c>
      <c r="Q54" s="6">
        <f t="shared" si="0"/>
        <v>146.49350649350649</v>
      </c>
      <c r="R54" s="3">
        <v>-10.7</v>
      </c>
      <c r="S54" s="3">
        <v>18.3</v>
      </c>
      <c r="T54" s="3">
        <v>11.4</v>
      </c>
      <c r="U54" s="1">
        <f t="shared" si="1"/>
        <v>-11.7</v>
      </c>
      <c r="V54" s="1">
        <f t="shared" si="2"/>
        <v>14.9</v>
      </c>
      <c r="W54" s="1">
        <f t="shared" si="3"/>
        <v>12.9</v>
      </c>
      <c r="X54" s="3" t="s">
        <v>11</v>
      </c>
      <c r="Y54" s="1" t="s">
        <v>12</v>
      </c>
      <c r="Z54" s="1" t="s">
        <v>888</v>
      </c>
    </row>
    <row r="55" spans="1:26" hidden="1">
      <c r="A55" s="1" t="s">
        <v>135</v>
      </c>
      <c r="B55" s="2">
        <v>-28.428339000000001</v>
      </c>
      <c r="C55" s="2">
        <v>-48.8293593</v>
      </c>
      <c r="D55" s="1" t="s">
        <v>161</v>
      </c>
      <c r="E55" s="1" t="s">
        <v>162</v>
      </c>
      <c r="G55" s="1" t="s">
        <v>26</v>
      </c>
      <c r="H55" s="1" t="s">
        <v>163</v>
      </c>
      <c r="I55" s="1" t="s">
        <v>164</v>
      </c>
      <c r="J55" s="2" t="s">
        <v>20</v>
      </c>
      <c r="K55" s="1" t="s">
        <v>31</v>
      </c>
      <c r="L55" s="3">
        <v>36.1</v>
      </c>
      <c r="M55" s="3">
        <v>12.8</v>
      </c>
      <c r="N55" s="3">
        <v>0.18</v>
      </c>
      <c r="O55" s="3">
        <v>3.3</v>
      </c>
      <c r="P55" s="6">
        <v>534.81481481481489</v>
      </c>
      <c r="Q55" s="6">
        <f t="shared" si="0"/>
        <v>162.53968253968256</v>
      </c>
      <c r="R55" s="3">
        <v>-10.199999999999999</v>
      </c>
      <c r="S55" s="3">
        <v>19.3</v>
      </c>
      <c r="T55" s="3">
        <v>12.2</v>
      </c>
      <c r="U55" s="1">
        <f t="shared" si="1"/>
        <v>-11.2</v>
      </c>
      <c r="V55" s="1">
        <f t="shared" si="2"/>
        <v>15.9</v>
      </c>
      <c r="W55" s="1">
        <f t="shared" si="3"/>
        <v>13.7</v>
      </c>
      <c r="X55" s="3" t="s">
        <v>11</v>
      </c>
      <c r="Y55" s="1" t="s">
        <v>12</v>
      </c>
      <c r="Z55" s="1" t="s">
        <v>888</v>
      </c>
    </row>
    <row r="56" spans="1:26" hidden="1">
      <c r="A56" s="1" t="s">
        <v>135</v>
      </c>
      <c r="B56" s="2">
        <v>-28.428339000000001</v>
      </c>
      <c r="C56" s="2">
        <v>-48.8293593</v>
      </c>
      <c r="D56" s="1" t="s">
        <v>165</v>
      </c>
      <c r="E56" s="1" t="s">
        <v>166</v>
      </c>
      <c r="G56" s="1" t="s">
        <v>26</v>
      </c>
      <c r="H56" s="1" t="s">
        <v>167</v>
      </c>
      <c r="I56" s="1" t="s">
        <v>164</v>
      </c>
      <c r="J56" s="2" t="s">
        <v>20</v>
      </c>
      <c r="K56" s="1" t="s">
        <v>31</v>
      </c>
      <c r="L56" s="3">
        <v>41.8</v>
      </c>
      <c r="M56" s="3">
        <v>14.5</v>
      </c>
      <c r="N56" s="3">
        <v>0.18</v>
      </c>
      <c r="O56" s="3">
        <v>3.4</v>
      </c>
      <c r="P56" s="6">
        <v>619.25925925925924</v>
      </c>
      <c r="Q56" s="6">
        <f t="shared" si="0"/>
        <v>184.12698412698413</v>
      </c>
      <c r="R56" s="3">
        <v>-10.199999999999999</v>
      </c>
      <c r="S56" s="3">
        <v>19.2</v>
      </c>
      <c r="T56" s="3">
        <v>11.7</v>
      </c>
      <c r="U56" s="1">
        <f t="shared" si="1"/>
        <v>-11.2</v>
      </c>
      <c r="V56" s="1">
        <f t="shared" si="2"/>
        <v>15.799999999999999</v>
      </c>
      <c r="W56" s="1">
        <f t="shared" si="3"/>
        <v>13.2</v>
      </c>
      <c r="X56" s="3" t="s">
        <v>11</v>
      </c>
      <c r="Y56" s="1" t="s">
        <v>12</v>
      </c>
      <c r="Z56" s="1" t="s">
        <v>888</v>
      </c>
    </row>
    <row r="57" spans="1:26" hidden="1">
      <c r="A57" s="1" t="s">
        <v>135</v>
      </c>
      <c r="B57" s="2">
        <v>-28.428339000000001</v>
      </c>
      <c r="C57" s="2">
        <v>-48.8293593</v>
      </c>
      <c r="E57" s="1">
        <v>1708</v>
      </c>
      <c r="G57" s="1" t="s">
        <v>26</v>
      </c>
      <c r="I57" s="1" t="s">
        <v>32</v>
      </c>
      <c r="J57" s="2" t="s">
        <v>20</v>
      </c>
      <c r="K57" s="1" t="s">
        <v>90</v>
      </c>
      <c r="L57" s="3" t="s">
        <v>168</v>
      </c>
      <c r="M57" s="3" t="s">
        <v>169</v>
      </c>
      <c r="O57" s="3">
        <v>3.44</v>
      </c>
      <c r="R57" s="3">
        <v>-11.3</v>
      </c>
      <c r="S57" s="3">
        <v>16.5</v>
      </c>
    </row>
    <row r="58" spans="1:26" hidden="1">
      <c r="A58" s="1" t="s">
        <v>135</v>
      </c>
      <c r="B58" s="2">
        <v>-28.428339000000001</v>
      </c>
      <c r="C58" s="2">
        <v>-48.8293593</v>
      </c>
      <c r="E58" s="1">
        <v>1709</v>
      </c>
      <c r="G58" s="1" t="s">
        <v>26</v>
      </c>
      <c r="I58" s="1" t="s">
        <v>41</v>
      </c>
      <c r="J58" s="1" t="s">
        <v>42</v>
      </c>
      <c r="K58" s="1" t="s">
        <v>84</v>
      </c>
      <c r="L58" s="3" t="s">
        <v>170</v>
      </c>
      <c r="M58" s="3" t="s">
        <v>171</v>
      </c>
      <c r="O58" s="3">
        <v>3.49</v>
      </c>
      <c r="R58" s="3">
        <v>-11.3</v>
      </c>
      <c r="S58" s="3">
        <v>17.7</v>
      </c>
    </row>
    <row r="59" spans="1:26" hidden="1">
      <c r="A59" s="1" t="s">
        <v>135</v>
      </c>
      <c r="B59" s="2">
        <v>-28.428339000000001</v>
      </c>
      <c r="C59" s="2">
        <v>-48.8293593</v>
      </c>
      <c r="E59" s="1">
        <v>1710</v>
      </c>
      <c r="G59" s="1" t="s">
        <v>26</v>
      </c>
      <c r="I59" s="1" t="s">
        <v>41</v>
      </c>
      <c r="J59" s="1" t="s">
        <v>33</v>
      </c>
      <c r="K59" s="1" t="s">
        <v>172</v>
      </c>
      <c r="L59" s="3" t="s">
        <v>173</v>
      </c>
      <c r="M59" s="3" t="s">
        <v>174</v>
      </c>
      <c r="O59" s="3">
        <v>3.55</v>
      </c>
      <c r="R59" s="3">
        <v>-11.1</v>
      </c>
      <c r="S59" s="3">
        <v>17.399999999999999</v>
      </c>
    </row>
    <row r="60" spans="1:26" hidden="1">
      <c r="A60" s="1" t="s">
        <v>135</v>
      </c>
      <c r="B60" s="2">
        <v>-28.428339000000001</v>
      </c>
      <c r="C60" s="2">
        <v>-48.8293593</v>
      </c>
      <c r="E60" s="1">
        <v>1712</v>
      </c>
      <c r="G60" s="1" t="s">
        <v>26</v>
      </c>
      <c r="I60" s="1" t="s">
        <v>41</v>
      </c>
      <c r="J60" s="1" t="s">
        <v>33</v>
      </c>
      <c r="K60" s="1" t="s">
        <v>172</v>
      </c>
      <c r="L60" s="3" t="s">
        <v>175</v>
      </c>
      <c r="M60" s="3" t="s">
        <v>176</v>
      </c>
      <c r="O60" s="3">
        <v>3.56</v>
      </c>
      <c r="R60" s="3">
        <v>-11.2</v>
      </c>
      <c r="S60" s="3">
        <v>19.100000000000001</v>
      </c>
    </row>
    <row r="61" spans="1:26" hidden="1">
      <c r="A61" s="1" t="s">
        <v>135</v>
      </c>
      <c r="B61" s="2">
        <v>-28.428339000000001</v>
      </c>
      <c r="C61" s="2">
        <v>-48.8293593</v>
      </c>
      <c r="E61" s="1">
        <v>1716</v>
      </c>
      <c r="G61" s="1" t="s">
        <v>26</v>
      </c>
      <c r="I61" s="1" t="s">
        <v>41</v>
      </c>
      <c r="J61" s="1" t="s">
        <v>33</v>
      </c>
      <c r="K61" s="1" t="s">
        <v>177</v>
      </c>
      <c r="L61" s="3" t="s">
        <v>178</v>
      </c>
      <c r="M61" s="3" t="s">
        <v>179</v>
      </c>
      <c r="O61" s="3">
        <v>3.57</v>
      </c>
      <c r="R61" s="3">
        <v>-11.5</v>
      </c>
      <c r="S61" s="3">
        <v>19.8</v>
      </c>
    </row>
    <row r="62" spans="1:26" hidden="1">
      <c r="A62" s="1" t="s">
        <v>135</v>
      </c>
      <c r="B62" s="2">
        <v>-28.428339000000001</v>
      </c>
      <c r="C62" s="2">
        <v>-48.8293593</v>
      </c>
      <c r="E62" s="1">
        <v>1721</v>
      </c>
      <c r="G62" s="1" t="s">
        <v>26</v>
      </c>
      <c r="I62" s="1" t="s">
        <v>41</v>
      </c>
      <c r="J62" s="1" t="s">
        <v>33</v>
      </c>
      <c r="K62" s="1" t="s">
        <v>84</v>
      </c>
      <c r="L62" s="3" t="s">
        <v>180</v>
      </c>
      <c r="M62" s="3">
        <v>13</v>
      </c>
      <c r="O62" s="3">
        <v>3.66</v>
      </c>
      <c r="R62" s="3">
        <v>-11</v>
      </c>
      <c r="S62" s="3">
        <v>19.5</v>
      </c>
    </row>
    <row r="63" spans="1:26" hidden="1">
      <c r="A63" s="1" t="s">
        <v>181</v>
      </c>
      <c r="B63" s="2">
        <v>-28.513697000000001</v>
      </c>
      <c r="C63" s="2">
        <v>-49.008136239999999</v>
      </c>
      <c r="D63" s="1" t="s">
        <v>182</v>
      </c>
      <c r="E63" s="1" t="s">
        <v>183</v>
      </c>
      <c r="G63" s="1" t="s">
        <v>26</v>
      </c>
      <c r="I63" s="2" t="s">
        <v>20</v>
      </c>
      <c r="J63" s="2" t="s">
        <v>20</v>
      </c>
      <c r="K63" s="1" t="s">
        <v>31</v>
      </c>
      <c r="L63" s="3">
        <v>43.2</v>
      </c>
      <c r="M63" s="3">
        <v>14.5</v>
      </c>
      <c r="N63" s="3">
        <v>0.23</v>
      </c>
      <c r="O63" s="3">
        <v>3.5</v>
      </c>
      <c r="P63" s="6">
        <v>500.86956521739131</v>
      </c>
      <c r="Q63" s="6">
        <f t="shared" ref="Q63:Q89" si="4">M63/N63*32/14</f>
        <v>144.09937888198758</v>
      </c>
      <c r="R63" s="3">
        <v>-11.1</v>
      </c>
      <c r="S63" s="3">
        <v>17.600000000000001</v>
      </c>
      <c r="T63" s="3">
        <v>10.199999999999999</v>
      </c>
      <c r="U63" s="1">
        <f t="shared" ref="U63:U89" si="5">R63-1</f>
        <v>-12.1</v>
      </c>
      <c r="V63" s="1">
        <f t="shared" ref="V63:V89" si="6">S63-3.4</f>
        <v>14.200000000000001</v>
      </c>
      <c r="W63" s="1">
        <f t="shared" ref="W63:W89" si="7">T63+1.5</f>
        <v>11.7</v>
      </c>
      <c r="X63" s="3" t="s">
        <v>11</v>
      </c>
      <c r="Y63" s="1" t="s">
        <v>12</v>
      </c>
      <c r="Z63" s="1" t="s">
        <v>888</v>
      </c>
    </row>
    <row r="64" spans="1:26" hidden="1">
      <c r="A64" s="1" t="s">
        <v>181</v>
      </c>
      <c r="B64" s="2">
        <v>-28.513697000000001</v>
      </c>
      <c r="C64" s="2">
        <v>-49.008136239999999</v>
      </c>
      <c r="D64" s="1" t="s">
        <v>184</v>
      </c>
      <c r="E64" s="1" t="s">
        <v>185</v>
      </c>
      <c r="G64" s="1" t="s">
        <v>26</v>
      </c>
      <c r="I64" s="2" t="s">
        <v>20</v>
      </c>
      <c r="J64" s="2" t="s">
        <v>20</v>
      </c>
      <c r="K64" s="1" t="s">
        <v>31</v>
      </c>
      <c r="L64" s="3">
        <v>43.4</v>
      </c>
      <c r="M64" s="3">
        <v>14.6</v>
      </c>
      <c r="N64" s="3">
        <v>0.23</v>
      </c>
      <c r="O64" s="3">
        <v>3.5</v>
      </c>
      <c r="P64" s="6">
        <v>503.18840579710144</v>
      </c>
      <c r="Q64" s="6">
        <f t="shared" si="4"/>
        <v>145.09316770186334</v>
      </c>
      <c r="R64" s="3">
        <v>-10.9</v>
      </c>
      <c r="S64" s="3">
        <v>17.899999999999999</v>
      </c>
      <c r="T64" s="3">
        <v>10.1</v>
      </c>
      <c r="U64" s="1">
        <f t="shared" si="5"/>
        <v>-11.9</v>
      </c>
      <c r="V64" s="1">
        <f t="shared" si="6"/>
        <v>14.499999999999998</v>
      </c>
      <c r="W64" s="1">
        <f t="shared" si="7"/>
        <v>11.6</v>
      </c>
      <c r="X64" s="3" t="s">
        <v>11</v>
      </c>
      <c r="Y64" s="1" t="s">
        <v>12</v>
      </c>
      <c r="Z64" s="1" t="s">
        <v>888</v>
      </c>
    </row>
    <row r="65" spans="1:26" hidden="1">
      <c r="A65" s="1" t="s">
        <v>181</v>
      </c>
      <c r="B65" s="2">
        <v>-28.513697000000001</v>
      </c>
      <c r="C65" s="2">
        <v>-49.008136239999999</v>
      </c>
      <c r="D65" s="1" t="s">
        <v>186</v>
      </c>
      <c r="E65" s="1" t="s">
        <v>187</v>
      </c>
      <c r="G65" s="1" t="s">
        <v>26</v>
      </c>
      <c r="I65" s="2" t="s">
        <v>20</v>
      </c>
      <c r="J65" s="2" t="s">
        <v>20</v>
      </c>
      <c r="K65" s="1" t="s">
        <v>31</v>
      </c>
      <c r="L65" s="3">
        <v>42</v>
      </c>
      <c r="M65" s="3">
        <v>14</v>
      </c>
      <c r="N65" s="3">
        <v>0.21</v>
      </c>
      <c r="O65" s="3">
        <v>3.5</v>
      </c>
      <c r="P65" s="6">
        <v>533.33333333333337</v>
      </c>
      <c r="Q65" s="6">
        <f t="shared" si="4"/>
        <v>152.38095238095238</v>
      </c>
      <c r="R65" s="3">
        <v>-10.5</v>
      </c>
      <c r="S65" s="3">
        <v>17.899999999999999</v>
      </c>
      <c r="T65" s="3">
        <v>8.3000000000000007</v>
      </c>
      <c r="U65" s="1">
        <f t="shared" si="5"/>
        <v>-11.5</v>
      </c>
      <c r="V65" s="1">
        <f t="shared" si="6"/>
        <v>14.499999999999998</v>
      </c>
      <c r="W65" s="1">
        <f t="shared" si="7"/>
        <v>9.8000000000000007</v>
      </c>
      <c r="X65" s="3" t="s">
        <v>11</v>
      </c>
      <c r="Y65" s="1" t="s">
        <v>12</v>
      </c>
      <c r="Z65" s="1" t="s">
        <v>888</v>
      </c>
    </row>
    <row r="66" spans="1:26" hidden="1">
      <c r="A66" s="1" t="s">
        <v>181</v>
      </c>
      <c r="B66" s="2">
        <v>-28.513697000000001</v>
      </c>
      <c r="C66" s="2">
        <v>-49.008136239999999</v>
      </c>
      <c r="D66" s="1" t="s">
        <v>188</v>
      </c>
      <c r="E66" s="1" t="s">
        <v>189</v>
      </c>
      <c r="G66" s="1" t="s">
        <v>26</v>
      </c>
      <c r="I66" s="1" t="s">
        <v>20</v>
      </c>
      <c r="J66" s="2" t="s">
        <v>20</v>
      </c>
      <c r="K66" s="1" t="s">
        <v>94</v>
      </c>
      <c r="L66" s="3">
        <v>33.700000000000003</v>
      </c>
      <c r="M66" s="3">
        <v>11.8</v>
      </c>
      <c r="N66" s="3">
        <v>0.3</v>
      </c>
      <c r="O66" s="3">
        <v>3.3</v>
      </c>
      <c r="P66" s="6">
        <v>299.5555555555556</v>
      </c>
      <c r="Q66" s="6">
        <f t="shared" si="4"/>
        <v>89.904761904761912</v>
      </c>
      <c r="R66" s="3">
        <v>-11</v>
      </c>
      <c r="S66" s="3">
        <v>17.100000000000001</v>
      </c>
      <c r="T66" s="3">
        <v>8.9</v>
      </c>
      <c r="U66" s="1">
        <f t="shared" si="5"/>
        <v>-12</v>
      </c>
      <c r="V66" s="1">
        <f t="shared" si="6"/>
        <v>13.700000000000001</v>
      </c>
      <c r="W66" s="1">
        <f t="shared" si="7"/>
        <v>10.4</v>
      </c>
      <c r="X66" s="3" t="s">
        <v>11</v>
      </c>
      <c r="Y66" s="1" t="s">
        <v>12</v>
      </c>
      <c r="Z66" s="1" t="s">
        <v>888</v>
      </c>
    </row>
    <row r="67" spans="1:26" hidden="1">
      <c r="A67" s="1" t="s">
        <v>181</v>
      </c>
      <c r="B67" s="2">
        <v>-28.513697000000001</v>
      </c>
      <c r="C67" s="2">
        <v>-49.008136239999999</v>
      </c>
      <c r="D67" s="1" t="s">
        <v>190</v>
      </c>
      <c r="E67" s="1" t="s">
        <v>191</v>
      </c>
      <c r="G67" s="1" t="s">
        <v>26</v>
      </c>
      <c r="I67" s="1" t="s">
        <v>20</v>
      </c>
      <c r="J67" s="2" t="s">
        <v>20</v>
      </c>
      <c r="K67" s="1" t="s">
        <v>31</v>
      </c>
      <c r="L67" s="3">
        <v>42</v>
      </c>
      <c r="M67" s="3">
        <v>14.9</v>
      </c>
      <c r="N67" s="3">
        <v>0.2</v>
      </c>
      <c r="O67" s="3">
        <v>3.3</v>
      </c>
      <c r="P67" s="6">
        <v>560</v>
      </c>
      <c r="Q67" s="6">
        <f t="shared" si="4"/>
        <v>170.28571428571428</v>
      </c>
      <c r="R67" s="3">
        <v>-10.6</v>
      </c>
      <c r="S67" s="3">
        <v>17.3</v>
      </c>
      <c r="T67" s="3">
        <v>10.4</v>
      </c>
      <c r="U67" s="1">
        <f t="shared" si="5"/>
        <v>-11.6</v>
      </c>
      <c r="V67" s="1">
        <f t="shared" si="6"/>
        <v>13.9</v>
      </c>
      <c r="W67" s="1">
        <f t="shared" si="7"/>
        <v>11.9</v>
      </c>
      <c r="X67" s="3" t="s">
        <v>11</v>
      </c>
      <c r="Y67" s="1" t="s">
        <v>12</v>
      </c>
      <c r="Z67" s="1" t="s">
        <v>888</v>
      </c>
    </row>
    <row r="68" spans="1:26" hidden="1">
      <c r="A68" s="1" t="s">
        <v>181</v>
      </c>
      <c r="B68" s="2">
        <v>-28.513697000000001</v>
      </c>
      <c r="C68" s="2">
        <v>-49.008136239999999</v>
      </c>
      <c r="D68" s="1" t="s">
        <v>192</v>
      </c>
      <c r="E68" s="1" t="s">
        <v>193</v>
      </c>
      <c r="G68" s="1" t="s">
        <v>26</v>
      </c>
      <c r="I68" s="1" t="s">
        <v>20</v>
      </c>
      <c r="J68" s="2" t="s">
        <v>20</v>
      </c>
      <c r="K68" s="1" t="s">
        <v>31</v>
      </c>
      <c r="L68" s="3">
        <v>43.2</v>
      </c>
      <c r="M68" s="3">
        <v>14.7</v>
      </c>
      <c r="N68" s="3">
        <v>0.3</v>
      </c>
      <c r="O68" s="3">
        <v>3.4</v>
      </c>
      <c r="P68" s="6">
        <v>384.00000000000006</v>
      </c>
      <c r="Q68" s="6">
        <f t="shared" si="4"/>
        <v>112</v>
      </c>
      <c r="R68" s="3">
        <v>-10.7</v>
      </c>
      <c r="S68" s="3">
        <v>17.399999999999999</v>
      </c>
      <c r="T68" s="3">
        <v>9.4</v>
      </c>
      <c r="U68" s="1">
        <f t="shared" si="5"/>
        <v>-11.7</v>
      </c>
      <c r="V68" s="1">
        <f t="shared" si="6"/>
        <v>13.999999999999998</v>
      </c>
      <c r="W68" s="1">
        <f t="shared" si="7"/>
        <v>10.9</v>
      </c>
      <c r="X68" s="3" t="s">
        <v>11</v>
      </c>
      <c r="Y68" s="1" t="s">
        <v>12</v>
      </c>
      <c r="Z68" s="1" t="s">
        <v>888</v>
      </c>
    </row>
    <row r="69" spans="1:26" hidden="1">
      <c r="A69" s="1" t="s">
        <v>181</v>
      </c>
      <c r="B69" s="2">
        <v>-28.513697000000001</v>
      </c>
      <c r="C69" s="2">
        <v>-49.008136239999999</v>
      </c>
      <c r="D69" s="1" t="s">
        <v>194</v>
      </c>
      <c r="E69" s="1" t="s">
        <v>195</v>
      </c>
      <c r="G69" s="1" t="s">
        <v>26</v>
      </c>
      <c r="I69" s="1" t="s">
        <v>20</v>
      </c>
      <c r="J69" s="2" t="s">
        <v>20</v>
      </c>
      <c r="K69" s="1" t="s">
        <v>31</v>
      </c>
      <c r="L69" s="3">
        <v>43.5</v>
      </c>
      <c r="M69" s="3">
        <v>15.1</v>
      </c>
      <c r="N69" s="3">
        <v>0.2</v>
      </c>
      <c r="O69" s="3">
        <v>3.4</v>
      </c>
      <c r="P69" s="6">
        <v>580</v>
      </c>
      <c r="Q69" s="6">
        <f t="shared" si="4"/>
        <v>172.57142857142858</v>
      </c>
      <c r="R69" s="3">
        <v>-10.8</v>
      </c>
      <c r="S69" s="3">
        <v>17.600000000000001</v>
      </c>
      <c r="T69" s="3">
        <v>9.6999999999999993</v>
      </c>
      <c r="U69" s="1">
        <f t="shared" si="5"/>
        <v>-11.8</v>
      </c>
      <c r="V69" s="1">
        <f t="shared" si="6"/>
        <v>14.200000000000001</v>
      </c>
      <c r="W69" s="1">
        <f t="shared" si="7"/>
        <v>11.2</v>
      </c>
      <c r="X69" s="3" t="s">
        <v>11</v>
      </c>
      <c r="Y69" s="1" t="s">
        <v>12</v>
      </c>
      <c r="Z69" s="1" t="s">
        <v>888</v>
      </c>
    </row>
    <row r="70" spans="1:26" hidden="1">
      <c r="A70" s="1" t="s">
        <v>181</v>
      </c>
      <c r="B70" s="2">
        <v>-28.513697000000001</v>
      </c>
      <c r="C70" s="2">
        <v>-49.008136239999999</v>
      </c>
      <c r="D70" s="1" t="s">
        <v>196</v>
      </c>
      <c r="E70" s="1" t="s">
        <v>197</v>
      </c>
      <c r="G70" s="1" t="s">
        <v>26</v>
      </c>
      <c r="I70" s="1" t="s">
        <v>20</v>
      </c>
      <c r="J70" s="2" t="s">
        <v>20</v>
      </c>
      <c r="K70" s="1" t="s">
        <v>31</v>
      </c>
      <c r="L70" s="3">
        <v>44.3</v>
      </c>
      <c r="M70" s="3">
        <v>15</v>
      </c>
      <c r="N70" s="3">
        <v>0.2</v>
      </c>
      <c r="O70" s="3">
        <v>3.4</v>
      </c>
      <c r="P70" s="6">
        <v>590.66666666666663</v>
      </c>
      <c r="Q70" s="6">
        <f t="shared" si="4"/>
        <v>171.42857142857142</v>
      </c>
      <c r="R70" s="3">
        <v>-10.199999999999999</v>
      </c>
      <c r="S70" s="3">
        <v>18.600000000000001</v>
      </c>
      <c r="T70" s="3">
        <v>12.5</v>
      </c>
      <c r="U70" s="1">
        <f t="shared" si="5"/>
        <v>-11.2</v>
      </c>
      <c r="V70" s="1">
        <f t="shared" si="6"/>
        <v>15.200000000000001</v>
      </c>
      <c r="W70" s="1">
        <f t="shared" si="7"/>
        <v>14</v>
      </c>
      <c r="X70" s="3" t="s">
        <v>11</v>
      </c>
      <c r="Y70" s="1" t="s">
        <v>12</v>
      </c>
      <c r="Z70" s="1" t="s">
        <v>888</v>
      </c>
    </row>
    <row r="71" spans="1:26" hidden="1">
      <c r="A71" s="1" t="s">
        <v>16</v>
      </c>
      <c r="B71" s="2">
        <v>-26.39593</v>
      </c>
      <c r="C71" s="2">
        <v>-48.660696999999999</v>
      </c>
      <c r="D71" s="1" t="s">
        <v>198</v>
      </c>
      <c r="E71" s="1" t="s">
        <v>199</v>
      </c>
      <c r="G71" s="1" t="s">
        <v>26</v>
      </c>
      <c r="I71" s="1" t="s">
        <v>200</v>
      </c>
      <c r="J71" s="2" t="s">
        <v>20</v>
      </c>
      <c r="K71" s="1" t="s">
        <v>27</v>
      </c>
      <c r="L71" s="3">
        <v>39.9</v>
      </c>
      <c r="M71" s="3">
        <v>14</v>
      </c>
      <c r="N71" s="3">
        <v>0.18</v>
      </c>
      <c r="O71" s="3">
        <v>3.3</v>
      </c>
      <c r="P71" s="6">
        <v>591.11111111111109</v>
      </c>
      <c r="Q71" s="6">
        <f t="shared" si="4"/>
        <v>177.7777777777778</v>
      </c>
      <c r="R71" s="3">
        <v>-13</v>
      </c>
      <c r="S71" s="3">
        <v>14.5</v>
      </c>
      <c r="T71" s="3">
        <v>10.1</v>
      </c>
      <c r="U71" s="1">
        <f t="shared" si="5"/>
        <v>-14</v>
      </c>
      <c r="V71" s="1">
        <f t="shared" si="6"/>
        <v>11.1</v>
      </c>
      <c r="W71" s="1">
        <f t="shared" si="7"/>
        <v>11.6</v>
      </c>
      <c r="X71" s="3" t="s">
        <v>11</v>
      </c>
      <c r="Y71" s="1" t="s">
        <v>12</v>
      </c>
      <c r="Z71" s="1" t="s">
        <v>888</v>
      </c>
    </row>
    <row r="72" spans="1:26" hidden="1">
      <c r="A72" s="1" t="s">
        <v>16</v>
      </c>
      <c r="B72" s="2">
        <v>-26.39593</v>
      </c>
      <c r="C72" s="2">
        <v>-48.660696999999999</v>
      </c>
      <c r="D72" s="1" t="s">
        <v>201</v>
      </c>
      <c r="E72" s="1">
        <v>8378</v>
      </c>
      <c r="G72" s="1" t="s">
        <v>26</v>
      </c>
      <c r="H72" s="1" t="s">
        <v>202</v>
      </c>
      <c r="I72" s="1" t="s">
        <v>20</v>
      </c>
      <c r="J72" s="2" t="s">
        <v>20</v>
      </c>
      <c r="K72" s="1" t="s">
        <v>27</v>
      </c>
      <c r="L72" s="3">
        <v>35.700000000000003</v>
      </c>
      <c r="M72" s="3">
        <v>12.4</v>
      </c>
      <c r="N72" s="3">
        <v>0.15</v>
      </c>
      <c r="O72" s="3">
        <v>3.4</v>
      </c>
      <c r="P72" s="6">
        <v>634.66666666666674</v>
      </c>
      <c r="Q72" s="6">
        <f t="shared" si="4"/>
        <v>188.95238095238096</v>
      </c>
      <c r="R72" s="3">
        <v>-15.3</v>
      </c>
      <c r="S72" s="3">
        <v>13.5</v>
      </c>
      <c r="T72" s="3">
        <v>9.5</v>
      </c>
      <c r="U72" s="1">
        <f t="shared" si="5"/>
        <v>-16.3</v>
      </c>
      <c r="V72" s="1">
        <f t="shared" si="6"/>
        <v>10.1</v>
      </c>
      <c r="W72" s="1">
        <f t="shared" si="7"/>
        <v>11</v>
      </c>
      <c r="X72" s="3" t="s">
        <v>11</v>
      </c>
      <c r="Y72" s="1" t="s">
        <v>12</v>
      </c>
      <c r="Z72" s="1" t="s">
        <v>888</v>
      </c>
    </row>
    <row r="73" spans="1:26" hidden="1">
      <c r="A73" s="1" t="s">
        <v>16</v>
      </c>
      <c r="B73" s="2">
        <v>-26.39593</v>
      </c>
      <c r="C73" s="2">
        <v>-48.660696999999999</v>
      </c>
      <c r="D73" s="1" t="s">
        <v>203</v>
      </c>
      <c r="E73" s="1" t="s">
        <v>204</v>
      </c>
      <c r="G73" s="1" t="s">
        <v>26</v>
      </c>
      <c r="I73" s="1" t="s">
        <v>20</v>
      </c>
      <c r="J73" s="2" t="s">
        <v>20</v>
      </c>
      <c r="K73" s="1" t="s">
        <v>27</v>
      </c>
      <c r="L73" s="3">
        <v>39.700000000000003</v>
      </c>
      <c r="M73" s="3">
        <v>14.1</v>
      </c>
      <c r="N73" s="3">
        <v>0.22</v>
      </c>
      <c r="O73" s="3">
        <v>3.3</v>
      </c>
      <c r="P73" s="6">
        <v>481.21212121212125</v>
      </c>
      <c r="Q73" s="6">
        <f t="shared" si="4"/>
        <v>146.49350649350649</v>
      </c>
      <c r="R73" s="3">
        <v>-15</v>
      </c>
      <c r="S73" s="3">
        <v>12.2</v>
      </c>
      <c r="T73" s="3">
        <v>9.1999999999999993</v>
      </c>
      <c r="U73" s="1">
        <f t="shared" si="5"/>
        <v>-16</v>
      </c>
      <c r="V73" s="1">
        <f t="shared" si="6"/>
        <v>8.7999999999999989</v>
      </c>
      <c r="W73" s="1">
        <f t="shared" si="7"/>
        <v>10.7</v>
      </c>
      <c r="X73" s="3" t="s">
        <v>11</v>
      </c>
      <c r="Y73" s="1" t="s">
        <v>12</v>
      </c>
      <c r="Z73" s="1" t="s">
        <v>888</v>
      </c>
    </row>
    <row r="74" spans="1:26" hidden="1">
      <c r="A74" s="1" t="s">
        <v>16</v>
      </c>
      <c r="B74" s="2">
        <v>-26.39593</v>
      </c>
      <c r="C74" s="2">
        <v>-48.660696999999999</v>
      </c>
      <c r="D74" s="1" t="s">
        <v>205</v>
      </c>
      <c r="E74" s="1" t="s">
        <v>206</v>
      </c>
      <c r="G74" s="1" t="s">
        <v>26</v>
      </c>
      <c r="I74" s="1" t="s">
        <v>20</v>
      </c>
      <c r="J74" s="2" t="s">
        <v>20</v>
      </c>
      <c r="K74" s="1" t="s">
        <v>207</v>
      </c>
      <c r="L74" s="3">
        <v>35.6</v>
      </c>
      <c r="M74" s="3">
        <v>12.5</v>
      </c>
      <c r="N74" s="3">
        <v>0.2</v>
      </c>
      <c r="O74" s="3">
        <v>3.3</v>
      </c>
      <c r="P74" s="6">
        <v>474.66666666666669</v>
      </c>
      <c r="Q74" s="6">
        <f t="shared" si="4"/>
        <v>142.85714285714286</v>
      </c>
      <c r="R74" s="3">
        <v>-12.5</v>
      </c>
      <c r="S74" s="3">
        <v>13.3</v>
      </c>
      <c r="T74" s="3">
        <v>7.4</v>
      </c>
      <c r="U74" s="1">
        <f t="shared" si="5"/>
        <v>-13.5</v>
      </c>
      <c r="V74" s="1">
        <f t="shared" si="6"/>
        <v>9.9</v>
      </c>
      <c r="W74" s="1">
        <f t="shared" si="7"/>
        <v>8.9</v>
      </c>
      <c r="X74" s="3" t="s">
        <v>11</v>
      </c>
      <c r="Y74" s="1" t="s">
        <v>12</v>
      </c>
      <c r="Z74" s="1" t="s">
        <v>888</v>
      </c>
    </row>
    <row r="75" spans="1:26" hidden="1">
      <c r="A75" s="1" t="s">
        <v>16</v>
      </c>
      <c r="B75" s="2">
        <v>-26.39593</v>
      </c>
      <c r="C75" s="2">
        <v>-48.660696999999999</v>
      </c>
      <c r="D75" s="1" t="s">
        <v>208</v>
      </c>
      <c r="E75" s="1" t="s">
        <v>209</v>
      </c>
      <c r="G75" s="1" t="s">
        <v>26</v>
      </c>
      <c r="I75" s="1" t="s">
        <v>20</v>
      </c>
      <c r="J75" s="2" t="s">
        <v>20</v>
      </c>
      <c r="K75" s="1" t="s">
        <v>27</v>
      </c>
      <c r="L75" s="3">
        <v>40.5</v>
      </c>
      <c r="M75" s="3">
        <v>14.2</v>
      </c>
      <c r="N75" s="3">
        <v>0.21</v>
      </c>
      <c r="O75" s="3">
        <v>3.3</v>
      </c>
      <c r="P75" s="6">
        <v>514.28571428571433</v>
      </c>
      <c r="Q75" s="6">
        <f t="shared" si="4"/>
        <v>154.55782312925172</v>
      </c>
      <c r="R75" s="3">
        <v>-14.2</v>
      </c>
      <c r="S75" s="3">
        <v>13.8</v>
      </c>
      <c r="T75" s="3">
        <v>9.6999999999999993</v>
      </c>
      <c r="U75" s="1">
        <f t="shared" si="5"/>
        <v>-15.2</v>
      </c>
      <c r="V75" s="1">
        <f t="shared" si="6"/>
        <v>10.4</v>
      </c>
      <c r="W75" s="1">
        <f t="shared" si="7"/>
        <v>11.2</v>
      </c>
      <c r="X75" s="3" t="s">
        <v>11</v>
      </c>
      <c r="Y75" s="1" t="s">
        <v>12</v>
      </c>
      <c r="Z75" s="1" t="s">
        <v>888</v>
      </c>
    </row>
    <row r="76" spans="1:26" hidden="1">
      <c r="A76" s="1" t="s">
        <v>17</v>
      </c>
      <c r="B76" s="2">
        <v>-26.299734000000001</v>
      </c>
      <c r="C76" s="2">
        <v>-48.568432999999999</v>
      </c>
      <c r="D76" s="1" t="s">
        <v>210</v>
      </c>
      <c r="E76" s="1" t="s">
        <v>211</v>
      </c>
      <c r="G76" s="1" t="s">
        <v>26</v>
      </c>
      <c r="I76" s="2" t="s">
        <v>20</v>
      </c>
      <c r="J76" s="2" t="s">
        <v>20</v>
      </c>
      <c r="K76" s="1" t="s">
        <v>27</v>
      </c>
      <c r="L76" s="3">
        <v>27.5</v>
      </c>
      <c r="M76" s="3">
        <v>10.199999999999999</v>
      </c>
      <c r="N76" s="3">
        <v>0.21</v>
      </c>
      <c r="O76" s="3">
        <v>3.1</v>
      </c>
      <c r="P76" s="6">
        <v>349.20634920634922</v>
      </c>
      <c r="Q76" s="6">
        <f t="shared" si="4"/>
        <v>111.0204081632653</v>
      </c>
      <c r="R76" s="3">
        <v>-12.1</v>
      </c>
      <c r="S76" s="3">
        <v>16.100000000000001</v>
      </c>
      <c r="T76" s="3">
        <v>11.4</v>
      </c>
      <c r="U76" s="1">
        <f t="shared" si="5"/>
        <v>-13.1</v>
      </c>
      <c r="V76" s="1">
        <f t="shared" si="6"/>
        <v>12.700000000000001</v>
      </c>
      <c r="W76" s="1">
        <f t="shared" si="7"/>
        <v>12.9</v>
      </c>
      <c r="X76" s="3" t="s">
        <v>11</v>
      </c>
      <c r="Y76" s="1" t="s">
        <v>12</v>
      </c>
      <c r="Z76" s="1" t="s">
        <v>888</v>
      </c>
    </row>
    <row r="77" spans="1:26" hidden="1">
      <c r="A77" s="7" t="s">
        <v>212</v>
      </c>
      <c r="B77" s="2">
        <v>-26.2339081757606</v>
      </c>
      <c r="C77" s="2">
        <v>-48.4997921563657</v>
      </c>
      <c r="D77" s="1" t="s">
        <v>213</v>
      </c>
      <c r="E77" s="1" t="s">
        <v>214</v>
      </c>
      <c r="G77" s="1" t="s">
        <v>215</v>
      </c>
      <c r="H77" s="1" t="s">
        <v>216</v>
      </c>
      <c r="I77" s="1" t="s">
        <v>217</v>
      </c>
      <c r="J77" s="2" t="s">
        <v>20</v>
      </c>
      <c r="K77" s="1" t="s">
        <v>218</v>
      </c>
      <c r="L77" s="3">
        <v>39.6</v>
      </c>
      <c r="M77" s="3">
        <v>13.9</v>
      </c>
      <c r="N77" s="3">
        <v>0.17</v>
      </c>
      <c r="O77" s="3">
        <v>3.3</v>
      </c>
      <c r="P77" s="6">
        <v>621.17647058823525</v>
      </c>
      <c r="Q77" s="6">
        <f t="shared" si="4"/>
        <v>186.890756302521</v>
      </c>
      <c r="R77" s="3">
        <v>-14.2</v>
      </c>
      <c r="S77" s="3">
        <v>17.7</v>
      </c>
      <c r="T77" s="3">
        <v>10.7</v>
      </c>
      <c r="U77" s="1">
        <f t="shared" si="5"/>
        <v>-15.2</v>
      </c>
      <c r="V77" s="1">
        <f t="shared" si="6"/>
        <v>14.299999999999999</v>
      </c>
      <c r="W77" s="1">
        <f t="shared" si="7"/>
        <v>12.2</v>
      </c>
      <c r="X77" s="3" t="s">
        <v>11</v>
      </c>
      <c r="Y77" s="1" t="s">
        <v>12</v>
      </c>
      <c r="Z77" s="1" t="s">
        <v>888</v>
      </c>
    </row>
    <row r="78" spans="1:26" hidden="1">
      <c r="A78" s="7" t="s">
        <v>212</v>
      </c>
      <c r="B78" s="2">
        <v>-26.2339081757606</v>
      </c>
      <c r="C78" s="2">
        <v>-48.4997921563657</v>
      </c>
      <c r="D78" s="1" t="s">
        <v>219</v>
      </c>
      <c r="E78" s="1">
        <v>8693</v>
      </c>
      <c r="G78" s="1" t="s">
        <v>215</v>
      </c>
      <c r="H78" s="1" t="s">
        <v>220</v>
      </c>
      <c r="I78" s="1" t="s">
        <v>20</v>
      </c>
      <c r="J78" s="2" t="s">
        <v>20</v>
      </c>
      <c r="K78" s="2" t="s">
        <v>20</v>
      </c>
      <c r="L78" s="3">
        <v>43</v>
      </c>
      <c r="M78" s="3">
        <v>14.5</v>
      </c>
      <c r="N78" s="3">
        <v>0.22</v>
      </c>
      <c r="O78" s="3">
        <v>3.5</v>
      </c>
      <c r="P78" s="6">
        <v>521.21212121212125</v>
      </c>
      <c r="Q78" s="6">
        <f t="shared" si="4"/>
        <v>150.64935064935065</v>
      </c>
      <c r="R78" s="3">
        <v>-13.2</v>
      </c>
      <c r="S78" s="3">
        <v>18.899999999999999</v>
      </c>
      <c r="T78" s="3">
        <v>12.9</v>
      </c>
      <c r="U78" s="1">
        <f t="shared" si="5"/>
        <v>-14.2</v>
      </c>
      <c r="V78" s="1">
        <f t="shared" si="6"/>
        <v>15.499999999999998</v>
      </c>
      <c r="W78" s="1">
        <f t="shared" si="7"/>
        <v>14.4</v>
      </c>
      <c r="X78" s="3" t="s">
        <v>11</v>
      </c>
      <c r="Y78" s="1" t="s">
        <v>12</v>
      </c>
      <c r="Z78" s="1" t="s">
        <v>888</v>
      </c>
    </row>
    <row r="79" spans="1:26" hidden="1">
      <c r="A79" s="7" t="s">
        <v>212</v>
      </c>
      <c r="B79" s="2">
        <v>-26.2339081757606</v>
      </c>
      <c r="C79" s="2">
        <v>-48.4997921563657</v>
      </c>
      <c r="D79" s="1" t="s">
        <v>221</v>
      </c>
      <c r="E79" s="1" t="s">
        <v>222</v>
      </c>
      <c r="G79" s="1" t="s">
        <v>215</v>
      </c>
      <c r="H79" s="1" t="s">
        <v>223</v>
      </c>
      <c r="I79" s="1" t="s">
        <v>20</v>
      </c>
      <c r="J79" s="2" t="s">
        <v>20</v>
      </c>
      <c r="K79" s="1" t="s">
        <v>94</v>
      </c>
      <c r="L79" s="3">
        <v>34.6</v>
      </c>
      <c r="M79" s="3">
        <v>12</v>
      </c>
      <c r="N79" s="3">
        <v>0.17</v>
      </c>
      <c r="O79" s="3">
        <v>3.3</v>
      </c>
      <c r="P79" s="6">
        <v>542.74509803921569</v>
      </c>
      <c r="Q79" s="6">
        <f t="shared" si="4"/>
        <v>161.34453781512602</v>
      </c>
      <c r="R79" s="3">
        <v>-14.4</v>
      </c>
      <c r="S79" s="3">
        <v>15.6</v>
      </c>
      <c r="T79" s="3">
        <v>10.6</v>
      </c>
      <c r="U79" s="1">
        <f t="shared" si="5"/>
        <v>-15.4</v>
      </c>
      <c r="V79" s="1">
        <f t="shared" si="6"/>
        <v>12.2</v>
      </c>
      <c r="W79" s="1">
        <f t="shared" si="7"/>
        <v>12.1</v>
      </c>
      <c r="X79" s="3" t="s">
        <v>11</v>
      </c>
      <c r="Y79" s="1" t="s">
        <v>12</v>
      </c>
      <c r="Z79" s="1" t="s">
        <v>888</v>
      </c>
    </row>
    <row r="80" spans="1:26" hidden="1">
      <c r="A80" s="7" t="s">
        <v>212</v>
      </c>
      <c r="B80" s="2">
        <v>-26.2339081757606</v>
      </c>
      <c r="C80" s="2">
        <v>-48.4997921563657</v>
      </c>
      <c r="D80" s="1" t="s">
        <v>224</v>
      </c>
      <c r="E80" s="1">
        <v>8639</v>
      </c>
      <c r="G80" s="1" t="s">
        <v>215</v>
      </c>
      <c r="H80" s="1" t="s">
        <v>225</v>
      </c>
      <c r="I80" s="1" t="s">
        <v>20</v>
      </c>
      <c r="J80" s="2" t="s">
        <v>20</v>
      </c>
      <c r="K80" s="1" t="s">
        <v>218</v>
      </c>
      <c r="L80" s="3">
        <v>36.299999999999997</v>
      </c>
      <c r="M80" s="3">
        <v>12.6</v>
      </c>
      <c r="N80" s="3">
        <v>0.17</v>
      </c>
      <c r="O80" s="3">
        <v>3.3</v>
      </c>
      <c r="P80" s="6">
        <v>569.41176470588232</v>
      </c>
      <c r="Q80" s="6">
        <f t="shared" si="4"/>
        <v>169.41176470588235</v>
      </c>
      <c r="R80" s="3">
        <v>-13.7</v>
      </c>
      <c r="S80" s="3">
        <v>15.7</v>
      </c>
      <c r="T80" s="3">
        <v>11.1</v>
      </c>
      <c r="U80" s="1">
        <f t="shared" si="5"/>
        <v>-14.7</v>
      </c>
      <c r="V80" s="1">
        <f t="shared" si="6"/>
        <v>12.299999999999999</v>
      </c>
      <c r="W80" s="1">
        <f t="shared" si="7"/>
        <v>12.6</v>
      </c>
      <c r="X80" s="3" t="s">
        <v>11</v>
      </c>
      <c r="Y80" s="1" t="s">
        <v>12</v>
      </c>
      <c r="Z80" s="1" t="s">
        <v>888</v>
      </c>
    </row>
    <row r="81" spans="1:26" hidden="1">
      <c r="A81" s="7" t="s">
        <v>212</v>
      </c>
      <c r="B81" s="2">
        <v>-26.2339081757606</v>
      </c>
      <c r="C81" s="2">
        <v>-48.4997921563657</v>
      </c>
      <c r="D81" s="1" t="s">
        <v>226</v>
      </c>
      <c r="E81" s="1" t="s">
        <v>227</v>
      </c>
      <c r="G81" s="1" t="s">
        <v>215</v>
      </c>
      <c r="H81" s="1" t="s">
        <v>228</v>
      </c>
      <c r="I81" s="1" t="s">
        <v>20</v>
      </c>
      <c r="J81" s="2" t="s">
        <v>20</v>
      </c>
      <c r="K81" s="2" t="s">
        <v>229</v>
      </c>
      <c r="L81" s="3">
        <v>34.1</v>
      </c>
      <c r="M81" s="3">
        <v>12.1</v>
      </c>
      <c r="N81" s="3">
        <v>0.22</v>
      </c>
      <c r="O81" s="3">
        <v>3.3</v>
      </c>
      <c r="P81" s="6">
        <v>413.33333333333331</v>
      </c>
      <c r="Q81" s="6">
        <f t="shared" si="4"/>
        <v>125.71428571428571</v>
      </c>
      <c r="R81" s="3">
        <v>-14.1</v>
      </c>
      <c r="S81" s="3">
        <v>15.1</v>
      </c>
      <c r="T81" s="3">
        <v>11.2</v>
      </c>
      <c r="U81" s="1">
        <f t="shared" si="5"/>
        <v>-15.1</v>
      </c>
      <c r="V81" s="1">
        <f t="shared" si="6"/>
        <v>11.7</v>
      </c>
      <c r="W81" s="1">
        <f t="shared" si="7"/>
        <v>12.7</v>
      </c>
      <c r="X81" s="3" t="s">
        <v>11</v>
      </c>
      <c r="Y81" s="1" t="s">
        <v>12</v>
      </c>
      <c r="Z81" s="1" t="s">
        <v>888</v>
      </c>
    </row>
    <row r="82" spans="1:26" hidden="1">
      <c r="A82" s="7" t="s">
        <v>212</v>
      </c>
      <c r="B82" s="2">
        <v>-26.2339081757606</v>
      </c>
      <c r="C82" s="2">
        <v>-48.4997921563657</v>
      </c>
      <c r="D82" s="1" t="s">
        <v>230</v>
      </c>
      <c r="E82" s="1" t="s">
        <v>231</v>
      </c>
      <c r="G82" s="1" t="s">
        <v>215</v>
      </c>
      <c r="H82" s="1" t="s">
        <v>232</v>
      </c>
      <c r="I82" s="1" t="s">
        <v>20</v>
      </c>
      <c r="J82" s="2" t="s">
        <v>20</v>
      </c>
      <c r="K82" s="1" t="s">
        <v>233</v>
      </c>
      <c r="L82" s="3">
        <v>40.6</v>
      </c>
      <c r="M82" s="3">
        <v>14.4</v>
      </c>
      <c r="N82" s="3">
        <v>0.18</v>
      </c>
      <c r="O82" s="3">
        <v>3.3</v>
      </c>
      <c r="P82" s="6">
        <v>601.48148148148152</v>
      </c>
      <c r="Q82" s="6">
        <f t="shared" si="4"/>
        <v>182.85714285714286</v>
      </c>
      <c r="R82" s="3">
        <v>-12.6</v>
      </c>
      <c r="S82" s="3">
        <v>15.7</v>
      </c>
      <c r="T82" s="3">
        <v>10.7</v>
      </c>
      <c r="U82" s="1">
        <f t="shared" si="5"/>
        <v>-13.6</v>
      </c>
      <c r="V82" s="1">
        <f t="shared" si="6"/>
        <v>12.299999999999999</v>
      </c>
      <c r="W82" s="1">
        <f t="shared" si="7"/>
        <v>12.2</v>
      </c>
      <c r="X82" s="3" t="s">
        <v>11</v>
      </c>
      <c r="Y82" s="1" t="s">
        <v>12</v>
      </c>
      <c r="Z82" s="1" t="s">
        <v>888</v>
      </c>
    </row>
    <row r="83" spans="1:26" hidden="1">
      <c r="A83" s="7" t="s">
        <v>212</v>
      </c>
      <c r="B83" s="2">
        <v>-26.2339081757606</v>
      </c>
      <c r="C83" s="2">
        <v>-48.4997921563657</v>
      </c>
      <c r="D83" s="1" t="s">
        <v>234</v>
      </c>
      <c r="E83" s="1" t="s">
        <v>235</v>
      </c>
      <c r="G83" s="1" t="s">
        <v>215</v>
      </c>
      <c r="H83" s="1" t="s">
        <v>236</v>
      </c>
      <c r="I83" s="1" t="s">
        <v>20</v>
      </c>
      <c r="J83" s="2" t="s">
        <v>20</v>
      </c>
      <c r="K83" s="2" t="s">
        <v>20</v>
      </c>
      <c r="L83" s="3">
        <v>31.7</v>
      </c>
      <c r="M83" s="3">
        <v>10.5</v>
      </c>
      <c r="N83" s="3">
        <v>0.23</v>
      </c>
      <c r="O83" s="3">
        <v>3.5</v>
      </c>
      <c r="P83" s="6">
        <v>367.53623188405794</v>
      </c>
      <c r="Q83" s="6">
        <f t="shared" si="4"/>
        <v>104.34782608695652</v>
      </c>
      <c r="R83" s="3">
        <v>-14.5</v>
      </c>
      <c r="S83" s="3">
        <v>15.8</v>
      </c>
      <c r="T83" s="3">
        <v>10.4</v>
      </c>
      <c r="U83" s="1">
        <f t="shared" si="5"/>
        <v>-15.5</v>
      </c>
      <c r="V83" s="1">
        <f t="shared" si="6"/>
        <v>12.4</v>
      </c>
      <c r="W83" s="1">
        <f t="shared" si="7"/>
        <v>11.9</v>
      </c>
      <c r="X83" s="3" t="s">
        <v>11</v>
      </c>
      <c r="Y83" s="1" t="s">
        <v>12</v>
      </c>
      <c r="Z83" s="1" t="s">
        <v>888</v>
      </c>
    </row>
    <row r="84" spans="1:26" hidden="1">
      <c r="A84" s="7" t="s">
        <v>212</v>
      </c>
      <c r="B84" s="2">
        <v>-26.2339081757606</v>
      </c>
      <c r="C84" s="2">
        <v>-48.4997921563657</v>
      </c>
      <c r="D84" s="1" t="s">
        <v>237</v>
      </c>
      <c r="E84" s="1" t="s">
        <v>238</v>
      </c>
      <c r="G84" s="1" t="s">
        <v>215</v>
      </c>
      <c r="H84" s="1" t="s">
        <v>239</v>
      </c>
      <c r="I84" s="1" t="s">
        <v>20</v>
      </c>
      <c r="J84" s="2" t="s">
        <v>20</v>
      </c>
      <c r="K84" s="2" t="s">
        <v>20</v>
      </c>
      <c r="L84" s="3">
        <v>37.200000000000003</v>
      </c>
      <c r="M84" s="3">
        <v>13.2</v>
      </c>
      <c r="N84" s="3">
        <v>0.2</v>
      </c>
      <c r="O84" s="3">
        <v>3.3</v>
      </c>
      <c r="P84" s="6">
        <v>496</v>
      </c>
      <c r="Q84" s="6">
        <f t="shared" si="4"/>
        <v>150.85714285714283</v>
      </c>
      <c r="R84" s="3">
        <v>-14.1</v>
      </c>
      <c r="S84" s="3">
        <v>14.6</v>
      </c>
      <c r="T84" s="3">
        <v>10.4</v>
      </c>
      <c r="U84" s="1">
        <f t="shared" si="5"/>
        <v>-15.1</v>
      </c>
      <c r="V84" s="1">
        <f t="shared" si="6"/>
        <v>11.2</v>
      </c>
      <c r="W84" s="1">
        <f t="shared" si="7"/>
        <v>11.9</v>
      </c>
      <c r="X84" s="3" t="s">
        <v>11</v>
      </c>
      <c r="Y84" s="1" t="s">
        <v>12</v>
      </c>
      <c r="Z84" s="1" t="s">
        <v>888</v>
      </c>
    </row>
    <row r="85" spans="1:26" hidden="1">
      <c r="A85" s="7" t="s">
        <v>212</v>
      </c>
      <c r="B85" s="2">
        <v>-26.2339081757606</v>
      </c>
      <c r="C85" s="2">
        <v>-48.4997921563657</v>
      </c>
      <c r="D85" s="1" t="s">
        <v>240</v>
      </c>
      <c r="E85" s="1">
        <v>8638</v>
      </c>
      <c r="G85" s="1" t="s">
        <v>215</v>
      </c>
      <c r="H85" s="1" t="s">
        <v>241</v>
      </c>
      <c r="I85" s="1" t="s">
        <v>20</v>
      </c>
      <c r="J85" s="2" t="s">
        <v>20</v>
      </c>
      <c r="K85" s="2" t="s">
        <v>20</v>
      </c>
      <c r="L85" s="3">
        <v>34.799999999999997</v>
      </c>
      <c r="M85" s="3">
        <v>12.4</v>
      </c>
      <c r="N85" s="3">
        <v>0.22</v>
      </c>
      <c r="O85" s="3">
        <v>3.3</v>
      </c>
      <c r="P85" s="6">
        <v>421.81818181818176</v>
      </c>
      <c r="Q85" s="6">
        <f t="shared" si="4"/>
        <v>128.83116883116884</v>
      </c>
      <c r="R85" s="3">
        <v>-13.2</v>
      </c>
      <c r="S85" s="3">
        <v>17</v>
      </c>
      <c r="T85" s="3">
        <v>12.6</v>
      </c>
      <c r="U85" s="1">
        <f t="shared" si="5"/>
        <v>-14.2</v>
      </c>
      <c r="V85" s="1">
        <f t="shared" si="6"/>
        <v>13.6</v>
      </c>
      <c r="W85" s="1">
        <f t="shared" si="7"/>
        <v>14.1</v>
      </c>
      <c r="X85" s="3" t="s">
        <v>11</v>
      </c>
      <c r="Y85" s="1" t="s">
        <v>12</v>
      </c>
      <c r="Z85" s="1" t="s">
        <v>888</v>
      </c>
    </row>
    <row r="86" spans="1:26" hidden="1">
      <c r="A86" s="7" t="s">
        <v>212</v>
      </c>
      <c r="B86" s="2">
        <v>-26.2339081757606</v>
      </c>
      <c r="C86" s="2">
        <v>-48.4997921563657</v>
      </c>
      <c r="D86" s="1" t="s">
        <v>242</v>
      </c>
      <c r="E86" s="1">
        <v>8637</v>
      </c>
      <c r="G86" s="1" t="s">
        <v>215</v>
      </c>
      <c r="H86" s="1" t="s">
        <v>216</v>
      </c>
      <c r="I86" s="1" t="s">
        <v>20</v>
      </c>
      <c r="J86" s="2" t="s">
        <v>20</v>
      </c>
      <c r="K86" s="1" t="s">
        <v>243</v>
      </c>
      <c r="L86" s="3">
        <v>37.9</v>
      </c>
      <c r="M86" s="3">
        <v>13.3</v>
      </c>
      <c r="N86" s="3">
        <v>0.17</v>
      </c>
      <c r="O86" s="3">
        <v>3.3</v>
      </c>
      <c r="P86" s="6">
        <v>594.5098039215685</v>
      </c>
      <c r="Q86" s="6">
        <f t="shared" si="4"/>
        <v>178.8235294117647</v>
      </c>
      <c r="R86" s="3">
        <v>-13.3</v>
      </c>
      <c r="S86" s="3">
        <v>17.399999999999999</v>
      </c>
      <c r="T86" s="3">
        <v>13.3</v>
      </c>
      <c r="U86" s="1">
        <f t="shared" si="5"/>
        <v>-14.3</v>
      </c>
      <c r="V86" s="1">
        <f t="shared" si="6"/>
        <v>13.999999999999998</v>
      </c>
      <c r="W86" s="1">
        <f t="shared" si="7"/>
        <v>14.8</v>
      </c>
      <c r="X86" s="3" t="s">
        <v>11</v>
      </c>
      <c r="Y86" s="1" t="s">
        <v>12</v>
      </c>
      <c r="Z86" s="1" t="s">
        <v>888</v>
      </c>
    </row>
    <row r="87" spans="1:26" hidden="1">
      <c r="A87" s="7" t="s">
        <v>212</v>
      </c>
      <c r="B87" s="2">
        <v>-26.2339081757606</v>
      </c>
      <c r="C87" s="2">
        <v>-48.4997921563657</v>
      </c>
      <c r="D87" s="1" t="s">
        <v>244</v>
      </c>
      <c r="E87" s="1">
        <v>8647</v>
      </c>
      <c r="G87" s="1" t="s">
        <v>215</v>
      </c>
      <c r="H87" s="1" t="s">
        <v>216</v>
      </c>
      <c r="I87" s="1" t="s">
        <v>20</v>
      </c>
      <c r="J87" s="2" t="s">
        <v>20</v>
      </c>
      <c r="K87" s="2" t="s">
        <v>20</v>
      </c>
      <c r="L87" s="3">
        <v>35.1</v>
      </c>
      <c r="M87" s="3">
        <v>12.4</v>
      </c>
      <c r="N87" s="3">
        <v>0.2</v>
      </c>
      <c r="O87" s="3">
        <v>3.3</v>
      </c>
      <c r="P87" s="6">
        <v>468</v>
      </c>
      <c r="Q87" s="6">
        <f t="shared" si="4"/>
        <v>141.71428571428572</v>
      </c>
      <c r="R87" s="3">
        <v>-12.3</v>
      </c>
      <c r="S87" s="3">
        <v>15.4</v>
      </c>
      <c r="T87" s="3">
        <v>10.4</v>
      </c>
      <c r="U87" s="1">
        <f t="shared" si="5"/>
        <v>-13.3</v>
      </c>
      <c r="V87" s="1">
        <f t="shared" si="6"/>
        <v>12</v>
      </c>
      <c r="W87" s="1">
        <f t="shared" si="7"/>
        <v>11.9</v>
      </c>
      <c r="X87" s="3" t="s">
        <v>11</v>
      </c>
      <c r="Y87" s="1" t="s">
        <v>12</v>
      </c>
      <c r="Z87" s="1" t="s">
        <v>888</v>
      </c>
    </row>
    <row r="88" spans="1:26" hidden="1">
      <c r="A88" s="7" t="s">
        <v>212</v>
      </c>
      <c r="B88" s="2">
        <v>-26.2339081757606</v>
      </c>
      <c r="C88" s="2">
        <v>-48.4997921563657</v>
      </c>
      <c r="D88" s="1" t="s">
        <v>245</v>
      </c>
      <c r="E88" s="1" t="s">
        <v>246</v>
      </c>
      <c r="G88" s="1" t="s">
        <v>215</v>
      </c>
      <c r="H88" s="1" t="s">
        <v>247</v>
      </c>
      <c r="I88" s="1" t="s">
        <v>20</v>
      </c>
      <c r="J88" s="2" t="s">
        <v>20</v>
      </c>
      <c r="K88" s="1" t="s">
        <v>27</v>
      </c>
      <c r="L88" s="3">
        <v>38.200000000000003</v>
      </c>
      <c r="M88" s="3">
        <v>13.7</v>
      </c>
      <c r="N88" s="3">
        <v>0.19</v>
      </c>
      <c r="O88" s="3">
        <v>3.2</v>
      </c>
      <c r="P88" s="6">
        <v>536.14035087719299</v>
      </c>
      <c r="Q88" s="6">
        <f t="shared" si="4"/>
        <v>164.81203007518795</v>
      </c>
      <c r="R88" s="3">
        <v>-13.3</v>
      </c>
      <c r="S88" s="3">
        <v>17.899999999999999</v>
      </c>
      <c r="T88" s="3">
        <v>13.1</v>
      </c>
      <c r="U88" s="1">
        <f t="shared" si="5"/>
        <v>-14.3</v>
      </c>
      <c r="V88" s="1">
        <f t="shared" si="6"/>
        <v>14.499999999999998</v>
      </c>
      <c r="W88" s="1">
        <f t="shared" si="7"/>
        <v>14.6</v>
      </c>
      <c r="X88" s="3" t="s">
        <v>11</v>
      </c>
      <c r="Y88" s="1" t="s">
        <v>12</v>
      </c>
      <c r="Z88" s="1" t="s">
        <v>888</v>
      </c>
    </row>
    <row r="89" spans="1:26" hidden="1">
      <c r="A89" s="7" t="s">
        <v>212</v>
      </c>
      <c r="B89" s="2">
        <v>-26.2339081757606</v>
      </c>
      <c r="C89" s="2">
        <v>-48.4997921563657</v>
      </c>
      <c r="D89" s="1" t="s">
        <v>248</v>
      </c>
      <c r="E89" s="1">
        <v>8630</v>
      </c>
      <c r="G89" s="1" t="s">
        <v>215</v>
      </c>
      <c r="H89" s="1" t="s">
        <v>249</v>
      </c>
      <c r="I89" s="1" t="s">
        <v>20</v>
      </c>
      <c r="J89" s="2" t="s">
        <v>20</v>
      </c>
      <c r="K89" s="2" t="s">
        <v>20</v>
      </c>
      <c r="L89" s="3">
        <v>41.8</v>
      </c>
      <c r="M89" s="3">
        <v>14.8</v>
      </c>
      <c r="N89" s="3">
        <v>0.24</v>
      </c>
      <c r="O89" s="3">
        <v>3.3</v>
      </c>
      <c r="P89" s="6">
        <v>464.4444444444444</v>
      </c>
      <c r="Q89" s="6">
        <f t="shared" si="4"/>
        <v>140.95238095238096</v>
      </c>
      <c r="R89" s="3">
        <v>-14</v>
      </c>
      <c r="S89" s="3">
        <v>15.1</v>
      </c>
      <c r="T89" s="3">
        <v>10</v>
      </c>
      <c r="U89" s="1">
        <f t="shared" si="5"/>
        <v>-15</v>
      </c>
      <c r="V89" s="1">
        <f t="shared" si="6"/>
        <v>11.7</v>
      </c>
      <c r="W89" s="1">
        <f t="shared" si="7"/>
        <v>11.5</v>
      </c>
      <c r="X89" s="3" t="s">
        <v>11</v>
      </c>
      <c r="Y89" s="1" t="s">
        <v>12</v>
      </c>
      <c r="Z89" s="1" t="s">
        <v>888</v>
      </c>
    </row>
    <row r="90" spans="1:26" hidden="1">
      <c r="A90" s="1" t="s">
        <v>212</v>
      </c>
      <c r="B90" s="2">
        <v>-26.2339081757606</v>
      </c>
      <c r="C90" s="2">
        <v>-48.4997921563657</v>
      </c>
      <c r="E90" s="1">
        <v>14</v>
      </c>
      <c r="G90" s="1" t="s">
        <v>26</v>
      </c>
      <c r="I90" s="1" t="s">
        <v>41</v>
      </c>
      <c r="J90" s="1" t="s">
        <v>33</v>
      </c>
      <c r="K90" s="1" t="s">
        <v>31</v>
      </c>
      <c r="L90" s="3" t="s">
        <v>250</v>
      </c>
      <c r="M90" s="3" t="s">
        <v>81</v>
      </c>
      <c r="O90" s="3">
        <v>2.5299999999999998</v>
      </c>
      <c r="R90" s="3">
        <v>-10.8</v>
      </c>
      <c r="S90" s="3">
        <v>17.8</v>
      </c>
    </row>
    <row r="91" spans="1:26" hidden="1">
      <c r="A91" s="1" t="s">
        <v>212</v>
      </c>
      <c r="B91" s="2">
        <v>-26.2339081757606</v>
      </c>
      <c r="C91" s="2">
        <v>-48.4997921563657</v>
      </c>
      <c r="E91" s="1">
        <v>15</v>
      </c>
      <c r="G91" s="1" t="s">
        <v>26</v>
      </c>
      <c r="I91" s="1" t="s">
        <v>32</v>
      </c>
      <c r="J91" s="1" t="s">
        <v>33</v>
      </c>
      <c r="K91" s="1" t="s">
        <v>251</v>
      </c>
      <c r="L91" s="3" t="s">
        <v>252</v>
      </c>
      <c r="M91" s="3" t="s">
        <v>253</v>
      </c>
      <c r="O91" s="3">
        <v>2.75</v>
      </c>
      <c r="R91" s="3">
        <v>-10.7</v>
      </c>
      <c r="S91" s="3">
        <v>13.9</v>
      </c>
    </row>
    <row r="92" spans="1:26" hidden="1">
      <c r="A92" s="1" t="s">
        <v>212</v>
      </c>
      <c r="B92" s="2">
        <v>-26.2339081757606</v>
      </c>
      <c r="C92" s="2">
        <v>-48.4997921563657</v>
      </c>
      <c r="E92" s="1">
        <v>1</v>
      </c>
      <c r="G92" s="1" t="s">
        <v>215</v>
      </c>
      <c r="H92" s="7"/>
      <c r="I92" s="1" t="s">
        <v>41</v>
      </c>
      <c r="J92" s="2" t="s">
        <v>20</v>
      </c>
      <c r="K92" s="1" t="s">
        <v>84</v>
      </c>
      <c r="L92" s="3" t="s">
        <v>254</v>
      </c>
      <c r="M92" s="3" t="s">
        <v>255</v>
      </c>
      <c r="N92" s="7"/>
      <c r="O92" s="3">
        <v>3.21</v>
      </c>
      <c r="P92" s="7"/>
      <c r="Q92" s="7"/>
      <c r="R92" s="3">
        <v>-12.9</v>
      </c>
      <c r="S92" s="3">
        <v>14.7</v>
      </c>
      <c r="X92" s="7"/>
      <c r="Y92" s="7"/>
      <c r="Z92" s="7"/>
    </row>
    <row r="93" spans="1:26" hidden="1">
      <c r="A93" s="1" t="s">
        <v>212</v>
      </c>
      <c r="B93" s="2">
        <v>-26.2339081757606</v>
      </c>
      <c r="C93" s="2">
        <v>-48.4997921563657</v>
      </c>
      <c r="E93" s="1">
        <v>7</v>
      </c>
      <c r="G93" s="1" t="s">
        <v>215</v>
      </c>
      <c r="H93" s="7"/>
      <c r="I93" s="1" t="s">
        <v>41</v>
      </c>
      <c r="J93" s="1" t="s">
        <v>33</v>
      </c>
      <c r="K93" s="1" t="s">
        <v>31</v>
      </c>
      <c r="L93" s="3" t="s">
        <v>256</v>
      </c>
      <c r="M93" s="3" t="s">
        <v>257</v>
      </c>
      <c r="N93" s="7"/>
      <c r="O93" s="3">
        <v>3.19</v>
      </c>
      <c r="P93" s="7"/>
      <c r="Q93" s="7"/>
      <c r="R93" s="3">
        <v>-12.7</v>
      </c>
      <c r="S93" s="3">
        <v>14.7</v>
      </c>
      <c r="X93" s="7"/>
      <c r="Y93" s="7"/>
      <c r="Z93" s="7"/>
    </row>
    <row r="94" spans="1:26" hidden="1">
      <c r="A94" s="1" t="s">
        <v>212</v>
      </c>
      <c r="B94" s="2">
        <v>-26.2339081757606</v>
      </c>
      <c r="C94" s="2">
        <v>-48.4997921563657</v>
      </c>
      <c r="E94" s="1">
        <v>10</v>
      </c>
      <c r="G94" s="1" t="s">
        <v>215</v>
      </c>
      <c r="H94" s="7"/>
      <c r="I94" s="1" t="s">
        <v>41</v>
      </c>
      <c r="J94" s="1" t="s">
        <v>258</v>
      </c>
      <c r="K94" s="1" t="s">
        <v>84</v>
      </c>
      <c r="L94" s="3" t="s">
        <v>259</v>
      </c>
      <c r="M94" s="3" t="s">
        <v>260</v>
      </c>
      <c r="N94" s="7"/>
      <c r="O94" s="3">
        <v>3.28</v>
      </c>
      <c r="P94" s="7"/>
      <c r="Q94" s="7"/>
      <c r="R94" s="3">
        <v>-12.6</v>
      </c>
      <c r="S94" s="3">
        <v>17</v>
      </c>
      <c r="X94" s="7"/>
      <c r="Y94" s="7"/>
      <c r="Z94" s="7"/>
    </row>
    <row r="95" spans="1:26" hidden="1">
      <c r="A95" s="1" t="s">
        <v>261</v>
      </c>
      <c r="B95" s="2">
        <v>-26.283805999999998</v>
      </c>
      <c r="C95" s="2">
        <v>-48.793675</v>
      </c>
      <c r="D95" s="1" t="s">
        <v>262</v>
      </c>
      <c r="E95" s="1" t="s">
        <v>263</v>
      </c>
      <c r="G95" s="1" t="s">
        <v>26</v>
      </c>
      <c r="I95" s="1" t="s">
        <v>20</v>
      </c>
      <c r="J95" s="2" t="s">
        <v>20</v>
      </c>
      <c r="K95" s="1" t="s">
        <v>94</v>
      </c>
      <c r="L95" s="3">
        <v>44.4</v>
      </c>
      <c r="M95" s="3">
        <v>15.3</v>
      </c>
      <c r="N95" s="3">
        <v>0.2</v>
      </c>
      <c r="O95" s="3">
        <v>3.4</v>
      </c>
      <c r="P95" s="6">
        <v>591.99999999999989</v>
      </c>
      <c r="Q95" s="6">
        <f>M95/N95*32/14</f>
        <v>174.85714285714286</v>
      </c>
      <c r="R95" s="3">
        <v>-12.1</v>
      </c>
      <c r="S95" s="3">
        <v>14.9</v>
      </c>
      <c r="T95" s="3">
        <v>10.199999999999999</v>
      </c>
      <c r="U95" s="1">
        <f>R95-1</f>
        <v>-13.1</v>
      </c>
      <c r="V95" s="1">
        <f>S95-3.4</f>
        <v>11.5</v>
      </c>
      <c r="W95" s="1">
        <f>T95+1.5</f>
        <v>11.7</v>
      </c>
      <c r="X95" s="3" t="s">
        <v>11</v>
      </c>
      <c r="Y95" s="1" t="s">
        <v>12</v>
      </c>
      <c r="Z95" s="1" t="s">
        <v>888</v>
      </c>
    </row>
    <row r="96" spans="1:26" hidden="1">
      <c r="A96" s="1" t="s">
        <v>261</v>
      </c>
      <c r="B96" s="2">
        <v>-26.283805999999998</v>
      </c>
      <c r="C96" s="2">
        <v>-48.793675</v>
      </c>
      <c r="D96" s="1" t="s">
        <v>264</v>
      </c>
      <c r="E96" s="1" t="s">
        <v>265</v>
      </c>
      <c r="G96" s="1" t="s">
        <v>26</v>
      </c>
      <c r="I96" s="1" t="s">
        <v>20</v>
      </c>
      <c r="J96" s="2" t="s">
        <v>20</v>
      </c>
      <c r="K96" s="1" t="s">
        <v>94</v>
      </c>
      <c r="L96" s="3">
        <v>43.7</v>
      </c>
      <c r="M96" s="3">
        <v>15.1</v>
      </c>
      <c r="N96" s="3">
        <v>0.2</v>
      </c>
      <c r="O96" s="3">
        <v>3.4</v>
      </c>
      <c r="P96" s="6">
        <v>582.66666666666663</v>
      </c>
      <c r="Q96" s="6">
        <f>M96/N96*32/14</f>
        <v>172.57142857142858</v>
      </c>
      <c r="R96" s="3">
        <v>-12</v>
      </c>
      <c r="S96" s="3">
        <v>14.9</v>
      </c>
      <c r="T96" s="3">
        <v>10.3</v>
      </c>
      <c r="U96" s="1">
        <f>R96-1</f>
        <v>-13</v>
      </c>
      <c r="V96" s="1">
        <f>S96-3.4</f>
        <v>11.5</v>
      </c>
      <c r="W96" s="1">
        <f>T96+1.5</f>
        <v>11.8</v>
      </c>
      <c r="X96" s="3" t="s">
        <v>11</v>
      </c>
      <c r="Y96" s="1" t="s">
        <v>12</v>
      </c>
      <c r="Z96" s="1" t="s">
        <v>888</v>
      </c>
    </row>
    <row r="97" spans="1:26" hidden="1">
      <c r="A97" s="1" t="s">
        <v>261</v>
      </c>
      <c r="B97" s="2">
        <v>-26.283805999999998</v>
      </c>
      <c r="C97" s="2">
        <v>-48.793675</v>
      </c>
      <c r="D97" s="1" t="s">
        <v>266</v>
      </c>
      <c r="E97" s="1" t="s">
        <v>267</v>
      </c>
      <c r="G97" s="1" t="s">
        <v>26</v>
      </c>
      <c r="I97" s="1" t="s">
        <v>20</v>
      </c>
      <c r="J97" s="2" t="s">
        <v>20</v>
      </c>
      <c r="K97" s="1" t="s">
        <v>94</v>
      </c>
      <c r="L97" s="3">
        <v>40.090000000000003</v>
      </c>
      <c r="M97" s="3">
        <v>14.28</v>
      </c>
      <c r="N97" s="3">
        <v>0.19</v>
      </c>
      <c r="O97" s="3">
        <v>3.3</v>
      </c>
      <c r="P97" s="6">
        <v>562.66666666666674</v>
      </c>
      <c r="Q97" s="6">
        <f>M97/N97*32/14</f>
        <v>171.78947368421049</v>
      </c>
      <c r="R97" s="3">
        <v>-12.65</v>
      </c>
      <c r="S97" s="3">
        <v>14.13</v>
      </c>
      <c r="T97" s="3">
        <v>10.42</v>
      </c>
      <c r="U97" s="1">
        <f>R97-1</f>
        <v>-13.65</v>
      </c>
      <c r="V97" s="1">
        <f>S97-3.4</f>
        <v>10.73</v>
      </c>
      <c r="W97" s="1">
        <f>T97+1.5</f>
        <v>11.92</v>
      </c>
      <c r="X97" s="3" t="s">
        <v>11</v>
      </c>
      <c r="Y97" s="1" t="s">
        <v>12</v>
      </c>
      <c r="Z97" s="1" t="s">
        <v>888</v>
      </c>
    </row>
    <row r="98" spans="1:26" hidden="1">
      <c r="A98" s="1" t="s">
        <v>18</v>
      </c>
      <c r="B98" s="2">
        <v>-26.2839809853409</v>
      </c>
      <c r="C98" s="2">
        <v>-48.792779941202198</v>
      </c>
      <c r="E98" s="1">
        <v>6</v>
      </c>
      <c r="G98" s="1" t="s">
        <v>26</v>
      </c>
      <c r="I98" s="1" t="s">
        <v>41</v>
      </c>
      <c r="J98" s="1" t="s">
        <v>258</v>
      </c>
      <c r="K98" s="1" t="s">
        <v>90</v>
      </c>
      <c r="L98" s="3" t="s">
        <v>268</v>
      </c>
      <c r="M98" s="3" t="s">
        <v>269</v>
      </c>
      <c r="O98" s="3">
        <v>3.2</v>
      </c>
      <c r="R98" s="3">
        <v>-11.1</v>
      </c>
      <c r="S98" s="3">
        <v>14.4</v>
      </c>
    </row>
    <row r="99" spans="1:26" hidden="1">
      <c r="A99" s="1" t="s">
        <v>18</v>
      </c>
      <c r="B99" s="2">
        <v>-26.2839809853409</v>
      </c>
      <c r="C99" s="2">
        <v>-48.792779941202198</v>
      </c>
      <c r="E99" s="1">
        <v>9</v>
      </c>
      <c r="G99" s="1" t="s">
        <v>26</v>
      </c>
      <c r="I99" s="1" t="s">
        <v>41</v>
      </c>
      <c r="J99" s="1" t="s">
        <v>258</v>
      </c>
      <c r="K99" s="1" t="s">
        <v>94</v>
      </c>
      <c r="L99" s="3" t="s">
        <v>270</v>
      </c>
      <c r="M99" s="3" t="s">
        <v>271</v>
      </c>
      <c r="O99" s="3">
        <v>3.24</v>
      </c>
      <c r="R99" s="3">
        <v>-12</v>
      </c>
      <c r="S99" s="3">
        <v>13.1</v>
      </c>
    </row>
    <row r="100" spans="1:26" hidden="1">
      <c r="A100" s="7" t="s">
        <v>272</v>
      </c>
      <c r="B100" s="2">
        <v>-27.472401999999999</v>
      </c>
      <c r="C100" s="2">
        <v>-48.56</v>
      </c>
      <c r="D100" s="1" t="s">
        <v>273</v>
      </c>
      <c r="E100" s="1" t="s">
        <v>274</v>
      </c>
      <c r="G100" s="2" t="s">
        <v>215</v>
      </c>
      <c r="I100" s="1" t="s">
        <v>20</v>
      </c>
      <c r="J100" s="2" t="s">
        <v>20</v>
      </c>
      <c r="K100" s="1" t="s">
        <v>90</v>
      </c>
      <c r="L100" s="3">
        <v>35.4</v>
      </c>
      <c r="M100" s="3">
        <v>12.6</v>
      </c>
      <c r="N100" s="3">
        <v>0.2</v>
      </c>
      <c r="O100" s="3">
        <v>3.3</v>
      </c>
      <c r="P100" s="6">
        <v>471.99999999999994</v>
      </c>
      <c r="Q100" s="6">
        <f t="shared" ref="Q100:Q113" si="8">M100/N100*32/14</f>
        <v>143.99999999999997</v>
      </c>
      <c r="R100" s="3">
        <v>-19.2</v>
      </c>
      <c r="S100" s="3">
        <v>11.4</v>
      </c>
      <c r="T100" s="3">
        <v>3.1</v>
      </c>
      <c r="U100" s="1">
        <f t="shared" ref="U100:U113" si="9">R100-1</f>
        <v>-20.2</v>
      </c>
      <c r="V100" s="1">
        <f t="shared" ref="V100:V113" si="10">S100-3.4</f>
        <v>8</v>
      </c>
      <c r="W100" s="1">
        <f t="shared" ref="W100:W113" si="11">T100+1.5</f>
        <v>4.5999999999999996</v>
      </c>
      <c r="X100" s="3" t="s">
        <v>11</v>
      </c>
      <c r="Y100" s="1" t="s">
        <v>12</v>
      </c>
      <c r="Z100" s="1" t="s">
        <v>888</v>
      </c>
    </row>
    <row r="101" spans="1:26" hidden="1">
      <c r="A101" s="1" t="s">
        <v>275</v>
      </c>
      <c r="B101" s="2">
        <v>-26.299734000000001</v>
      </c>
      <c r="C101" s="2">
        <v>-48.568432999999999</v>
      </c>
      <c r="D101" s="1">
        <v>1415</v>
      </c>
      <c r="E101" s="1" t="s">
        <v>276</v>
      </c>
      <c r="G101" s="1" t="s">
        <v>26</v>
      </c>
      <c r="I101" s="2" t="s">
        <v>20</v>
      </c>
      <c r="J101" s="1" t="s">
        <v>33</v>
      </c>
      <c r="K101" s="1" t="s">
        <v>31</v>
      </c>
      <c r="L101" s="3">
        <v>26.9</v>
      </c>
      <c r="M101" s="3">
        <v>9.6999999999999993</v>
      </c>
      <c r="N101" s="3">
        <v>0.19</v>
      </c>
      <c r="O101" s="3">
        <v>3.2</v>
      </c>
      <c r="P101" s="6">
        <v>377.54385964912279</v>
      </c>
      <c r="Q101" s="6">
        <f t="shared" si="8"/>
        <v>116.69172932330825</v>
      </c>
      <c r="R101" s="3">
        <v>-11.8</v>
      </c>
      <c r="S101" s="3">
        <v>14.9</v>
      </c>
      <c r="T101" s="3">
        <v>8.3000000000000007</v>
      </c>
      <c r="U101" s="1">
        <f t="shared" si="9"/>
        <v>-12.8</v>
      </c>
      <c r="V101" s="1">
        <f t="shared" si="10"/>
        <v>11.5</v>
      </c>
      <c r="W101" s="1">
        <f t="shared" si="11"/>
        <v>9.8000000000000007</v>
      </c>
      <c r="X101" s="3" t="s">
        <v>11</v>
      </c>
      <c r="Y101" s="1" t="s">
        <v>12</v>
      </c>
      <c r="Z101" s="1" t="s">
        <v>888</v>
      </c>
    </row>
    <row r="102" spans="1:26" hidden="1">
      <c r="A102" s="7" t="s">
        <v>275</v>
      </c>
      <c r="B102" s="2">
        <v>-26.299734000000001</v>
      </c>
      <c r="C102" s="2">
        <v>-48.568432999999999</v>
      </c>
      <c r="D102" s="1">
        <v>1515</v>
      </c>
      <c r="E102" s="1" t="s">
        <v>277</v>
      </c>
      <c r="G102" s="1" t="s">
        <v>215</v>
      </c>
      <c r="I102" s="2" t="s">
        <v>20</v>
      </c>
      <c r="J102" s="2" t="s">
        <v>20</v>
      </c>
      <c r="K102" s="1" t="s">
        <v>278</v>
      </c>
      <c r="L102" s="3">
        <v>14.7</v>
      </c>
      <c r="M102" s="3">
        <v>5.2</v>
      </c>
      <c r="N102" s="3">
        <v>0.19</v>
      </c>
      <c r="O102" s="3">
        <v>3.3</v>
      </c>
      <c r="P102" s="6">
        <v>206.31578947368419</v>
      </c>
      <c r="Q102" s="6">
        <f t="shared" si="8"/>
        <v>62.556390977443606</v>
      </c>
      <c r="R102" s="3">
        <v>-15.7</v>
      </c>
      <c r="S102" s="3">
        <v>14.2</v>
      </c>
      <c r="T102" s="3">
        <v>9.8000000000000007</v>
      </c>
      <c r="U102" s="1">
        <f t="shared" si="9"/>
        <v>-16.7</v>
      </c>
      <c r="V102" s="1">
        <f t="shared" si="10"/>
        <v>10.799999999999999</v>
      </c>
      <c r="W102" s="1">
        <f t="shared" si="11"/>
        <v>11.3</v>
      </c>
      <c r="X102" s="3" t="s">
        <v>11</v>
      </c>
      <c r="Y102" s="1" t="s">
        <v>12</v>
      </c>
      <c r="Z102" s="1" t="s">
        <v>888</v>
      </c>
    </row>
    <row r="103" spans="1:26" hidden="1">
      <c r="A103" s="7" t="s">
        <v>275</v>
      </c>
      <c r="B103" s="2">
        <v>-26.299734000000001</v>
      </c>
      <c r="C103" s="2">
        <v>-48.568432999999999</v>
      </c>
      <c r="D103" s="1">
        <v>1449</v>
      </c>
      <c r="E103" s="1" t="s">
        <v>141</v>
      </c>
      <c r="G103" s="1" t="s">
        <v>215</v>
      </c>
      <c r="I103" s="2" t="s">
        <v>20</v>
      </c>
      <c r="J103" s="1" t="s">
        <v>33</v>
      </c>
      <c r="K103" s="1" t="s">
        <v>31</v>
      </c>
      <c r="L103" s="3">
        <v>38.200000000000003</v>
      </c>
      <c r="M103" s="3">
        <v>14.1</v>
      </c>
      <c r="N103" s="3">
        <v>0.2</v>
      </c>
      <c r="O103" s="3">
        <v>3.2</v>
      </c>
      <c r="P103" s="6">
        <v>509.33333333333331</v>
      </c>
      <c r="Q103" s="6">
        <f t="shared" si="8"/>
        <v>161.14285714285714</v>
      </c>
      <c r="R103" s="3">
        <v>-13.1</v>
      </c>
      <c r="S103" s="3">
        <v>15.2</v>
      </c>
      <c r="T103" s="3">
        <v>10.7</v>
      </c>
      <c r="U103" s="1">
        <f t="shared" si="9"/>
        <v>-14.1</v>
      </c>
      <c r="V103" s="1">
        <f t="shared" si="10"/>
        <v>11.799999999999999</v>
      </c>
      <c r="W103" s="1">
        <f t="shared" si="11"/>
        <v>12.2</v>
      </c>
      <c r="X103" s="3" t="s">
        <v>14</v>
      </c>
      <c r="Y103" s="3" t="s">
        <v>13</v>
      </c>
      <c r="Z103" s="1" t="s">
        <v>888</v>
      </c>
    </row>
    <row r="104" spans="1:26" hidden="1">
      <c r="A104" s="7" t="s">
        <v>275</v>
      </c>
      <c r="B104" s="2">
        <v>-26.299734000000001</v>
      </c>
      <c r="C104" s="2">
        <v>-48.568432999999999</v>
      </c>
      <c r="D104" s="1">
        <v>1465</v>
      </c>
      <c r="E104" s="1" t="s">
        <v>149</v>
      </c>
      <c r="G104" s="1" t="s">
        <v>215</v>
      </c>
      <c r="I104" s="2" t="s">
        <v>20</v>
      </c>
      <c r="J104" s="2" t="s">
        <v>20</v>
      </c>
      <c r="K104" s="1" t="s">
        <v>31</v>
      </c>
      <c r="L104" s="3">
        <v>27.7</v>
      </c>
      <c r="M104" s="3">
        <v>10.8</v>
      </c>
      <c r="N104" s="3">
        <v>0.2</v>
      </c>
      <c r="O104" s="3">
        <v>3</v>
      </c>
      <c r="P104" s="6">
        <v>369.33333333333331</v>
      </c>
      <c r="Q104" s="6">
        <f t="shared" si="8"/>
        <v>123.42857142857143</v>
      </c>
      <c r="R104" s="3">
        <v>-13.6</v>
      </c>
      <c r="S104" s="3">
        <v>13.9</v>
      </c>
      <c r="T104" s="3">
        <v>10.1</v>
      </c>
      <c r="U104" s="1">
        <f t="shared" si="9"/>
        <v>-14.6</v>
      </c>
      <c r="V104" s="1">
        <f t="shared" si="10"/>
        <v>10.5</v>
      </c>
      <c r="W104" s="1">
        <f t="shared" si="11"/>
        <v>11.6</v>
      </c>
      <c r="X104" s="3" t="s">
        <v>14</v>
      </c>
      <c r="Y104" s="3" t="s">
        <v>13</v>
      </c>
      <c r="Z104" s="1" t="s">
        <v>888</v>
      </c>
    </row>
    <row r="105" spans="1:26" hidden="1">
      <c r="A105" s="7" t="s">
        <v>275</v>
      </c>
      <c r="B105" s="2">
        <v>-26.299734000000001</v>
      </c>
      <c r="C105" s="2">
        <v>-48.568432999999999</v>
      </c>
      <c r="D105" s="1">
        <v>1472</v>
      </c>
      <c r="E105" s="1" t="s">
        <v>279</v>
      </c>
      <c r="G105" s="1" t="s">
        <v>215</v>
      </c>
      <c r="I105" s="2" t="s">
        <v>20</v>
      </c>
      <c r="J105" s="1" t="s">
        <v>33</v>
      </c>
      <c r="K105" s="1" t="s">
        <v>31</v>
      </c>
      <c r="L105" s="3">
        <v>40.700000000000003</v>
      </c>
      <c r="M105" s="3">
        <v>14.9</v>
      </c>
      <c r="N105" s="3">
        <v>0.2</v>
      </c>
      <c r="O105" s="3">
        <v>3.2</v>
      </c>
      <c r="P105" s="6">
        <v>542.66666666666663</v>
      </c>
      <c r="Q105" s="6">
        <f t="shared" si="8"/>
        <v>170.28571428571428</v>
      </c>
      <c r="R105" s="3">
        <v>-12.8</v>
      </c>
      <c r="S105" s="3">
        <v>14.7</v>
      </c>
      <c r="T105" s="3">
        <v>9.6</v>
      </c>
      <c r="U105" s="1">
        <f t="shared" si="9"/>
        <v>-13.8</v>
      </c>
      <c r="V105" s="1">
        <f t="shared" si="10"/>
        <v>11.299999999999999</v>
      </c>
      <c r="W105" s="1">
        <f t="shared" si="11"/>
        <v>11.1</v>
      </c>
      <c r="X105" s="3" t="s">
        <v>14</v>
      </c>
      <c r="Y105" s="3" t="s">
        <v>13</v>
      </c>
      <c r="Z105" s="1" t="s">
        <v>888</v>
      </c>
    </row>
    <row r="106" spans="1:26" hidden="1">
      <c r="A106" s="7" t="s">
        <v>275</v>
      </c>
      <c r="B106" s="2">
        <v>-26.299734000000001</v>
      </c>
      <c r="C106" s="2">
        <v>-48.568432999999999</v>
      </c>
      <c r="D106" s="1">
        <v>1513</v>
      </c>
      <c r="E106" s="1" t="s">
        <v>280</v>
      </c>
      <c r="G106" s="1" t="s">
        <v>215</v>
      </c>
      <c r="I106" s="2" t="s">
        <v>20</v>
      </c>
      <c r="J106" s="2" t="s">
        <v>20</v>
      </c>
      <c r="K106" s="1" t="s">
        <v>31</v>
      </c>
      <c r="L106" s="3">
        <v>26.2</v>
      </c>
      <c r="M106" s="3">
        <v>10</v>
      </c>
      <c r="N106" s="3">
        <v>0.2</v>
      </c>
      <c r="O106" s="3">
        <v>3.1</v>
      </c>
      <c r="P106" s="6">
        <v>349.33333333333331</v>
      </c>
      <c r="Q106" s="6">
        <f t="shared" si="8"/>
        <v>114.28571428571429</v>
      </c>
      <c r="R106" s="3">
        <v>-13.9</v>
      </c>
      <c r="S106" s="3">
        <v>12.5</v>
      </c>
      <c r="T106" s="3">
        <v>7.6</v>
      </c>
      <c r="U106" s="1">
        <f t="shared" si="9"/>
        <v>-14.9</v>
      </c>
      <c r="V106" s="1">
        <f t="shared" si="10"/>
        <v>9.1</v>
      </c>
      <c r="W106" s="1">
        <f t="shared" si="11"/>
        <v>9.1</v>
      </c>
      <c r="X106" s="3" t="s">
        <v>14</v>
      </c>
      <c r="Y106" s="3" t="s">
        <v>13</v>
      </c>
      <c r="Z106" s="1" t="s">
        <v>888</v>
      </c>
    </row>
    <row r="107" spans="1:26" hidden="1">
      <c r="A107" s="7" t="s">
        <v>275</v>
      </c>
      <c r="B107" s="2">
        <v>-26.299734000000001</v>
      </c>
      <c r="C107" s="2">
        <v>-48.568432999999999</v>
      </c>
      <c r="D107" s="1">
        <v>1620</v>
      </c>
      <c r="E107" s="1" t="s">
        <v>281</v>
      </c>
      <c r="G107" s="1" t="s">
        <v>215</v>
      </c>
      <c r="I107" s="2" t="s">
        <v>20</v>
      </c>
      <c r="J107" s="2" t="s">
        <v>20</v>
      </c>
      <c r="K107" s="1" t="s">
        <v>31</v>
      </c>
      <c r="L107" s="3">
        <v>44.1</v>
      </c>
      <c r="M107" s="3">
        <v>15.4</v>
      </c>
      <c r="N107" s="3">
        <v>0.2</v>
      </c>
      <c r="O107" s="3">
        <v>3.3</v>
      </c>
      <c r="P107" s="6">
        <v>588</v>
      </c>
      <c r="Q107" s="6">
        <f t="shared" si="8"/>
        <v>176</v>
      </c>
      <c r="R107" s="3">
        <v>-13.7</v>
      </c>
      <c r="S107" s="3">
        <v>14.6</v>
      </c>
      <c r="T107" s="3">
        <v>9.1999999999999993</v>
      </c>
      <c r="U107" s="1">
        <f t="shared" si="9"/>
        <v>-14.7</v>
      </c>
      <c r="V107" s="1">
        <f t="shared" si="10"/>
        <v>11.2</v>
      </c>
      <c r="W107" s="1">
        <f t="shared" si="11"/>
        <v>10.7</v>
      </c>
      <c r="X107" s="3" t="s">
        <v>14</v>
      </c>
      <c r="Y107" s="3" t="s">
        <v>13</v>
      </c>
      <c r="Z107" s="1" t="s">
        <v>888</v>
      </c>
    </row>
    <row r="108" spans="1:26" hidden="1">
      <c r="A108" s="7" t="s">
        <v>275</v>
      </c>
      <c r="B108" s="2">
        <v>-26.299734000000001</v>
      </c>
      <c r="C108" s="2">
        <v>-48.568432999999999</v>
      </c>
      <c r="D108" s="1">
        <v>1626</v>
      </c>
      <c r="E108" s="1" t="s">
        <v>282</v>
      </c>
      <c r="G108" s="1" t="s">
        <v>215</v>
      </c>
      <c r="I108" s="2" t="s">
        <v>20</v>
      </c>
      <c r="J108" s="2" t="s">
        <v>20</v>
      </c>
      <c r="K108" s="1" t="s">
        <v>31</v>
      </c>
      <c r="L108" s="3">
        <v>24.5</v>
      </c>
      <c r="M108" s="3">
        <v>9.4</v>
      </c>
      <c r="N108" s="3">
        <v>0.2</v>
      </c>
      <c r="O108" s="3">
        <v>3.1</v>
      </c>
      <c r="P108" s="6">
        <v>326.66666666666669</v>
      </c>
      <c r="Q108" s="6">
        <f t="shared" si="8"/>
        <v>107.42857142857143</v>
      </c>
      <c r="R108" s="3">
        <v>-14.4</v>
      </c>
      <c r="S108" s="3">
        <v>13.3</v>
      </c>
      <c r="T108" s="3">
        <v>8.1999999999999993</v>
      </c>
      <c r="U108" s="1">
        <f t="shared" si="9"/>
        <v>-15.4</v>
      </c>
      <c r="V108" s="1">
        <f t="shared" si="10"/>
        <v>9.9</v>
      </c>
      <c r="W108" s="1">
        <f t="shared" si="11"/>
        <v>9.6999999999999993</v>
      </c>
      <c r="X108" s="3" t="s">
        <v>14</v>
      </c>
      <c r="Y108" s="3" t="s">
        <v>13</v>
      </c>
      <c r="Z108" s="1" t="s">
        <v>888</v>
      </c>
    </row>
    <row r="109" spans="1:26" hidden="1">
      <c r="A109" s="1" t="s">
        <v>275</v>
      </c>
      <c r="B109" s="2">
        <v>-26.299734000000001</v>
      </c>
      <c r="C109" s="2">
        <v>-48.568432999999999</v>
      </c>
      <c r="D109" s="1">
        <v>1531</v>
      </c>
      <c r="E109" s="1" t="s">
        <v>283</v>
      </c>
      <c r="G109" s="1" t="s">
        <v>26</v>
      </c>
      <c r="I109" s="2" t="s">
        <v>20</v>
      </c>
      <c r="J109" s="1" t="s">
        <v>33</v>
      </c>
      <c r="K109" s="1" t="s">
        <v>31</v>
      </c>
      <c r="L109" s="3">
        <v>25.7</v>
      </c>
      <c r="M109" s="3">
        <v>9.9</v>
      </c>
      <c r="N109" s="3">
        <v>0.2</v>
      </c>
      <c r="O109" s="3">
        <v>3</v>
      </c>
      <c r="P109" s="6">
        <v>342.66666666666669</v>
      </c>
      <c r="Q109" s="6">
        <f t="shared" si="8"/>
        <v>113.14285714285714</v>
      </c>
      <c r="R109" s="3">
        <v>-14.3</v>
      </c>
      <c r="S109" s="3">
        <v>12.4</v>
      </c>
      <c r="T109" s="3">
        <v>8.3000000000000007</v>
      </c>
      <c r="U109" s="1">
        <f t="shared" si="9"/>
        <v>-15.3</v>
      </c>
      <c r="V109" s="1">
        <f t="shared" si="10"/>
        <v>9</v>
      </c>
      <c r="W109" s="1">
        <f t="shared" si="11"/>
        <v>9.8000000000000007</v>
      </c>
      <c r="X109" s="3" t="s">
        <v>14</v>
      </c>
      <c r="Y109" s="3" t="s">
        <v>13</v>
      </c>
      <c r="Z109" s="1" t="s">
        <v>888</v>
      </c>
    </row>
    <row r="110" spans="1:26" hidden="1">
      <c r="A110" s="1" t="s">
        <v>275</v>
      </c>
      <c r="B110" s="2">
        <v>-26.299734000000001</v>
      </c>
      <c r="C110" s="2">
        <v>-48.568432999999999</v>
      </c>
      <c r="D110" s="1">
        <v>1541</v>
      </c>
      <c r="E110" s="1" t="s">
        <v>284</v>
      </c>
      <c r="G110" s="1" t="s">
        <v>26</v>
      </c>
      <c r="I110" s="2" t="s">
        <v>20</v>
      </c>
      <c r="J110" s="2" t="s">
        <v>20</v>
      </c>
      <c r="K110" s="1" t="s">
        <v>31</v>
      </c>
      <c r="L110" s="3">
        <v>28.9</v>
      </c>
      <c r="M110" s="3">
        <v>10.8</v>
      </c>
      <c r="N110" s="3">
        <v>0.2</v>
      </c>
      <c r="O110" s="3">
        <v>3.1</v>
      </c>
      <c r="P110" s="6">
        <v>385.33333333333326</v>
      </c>
      <c r="Q110" s="6">
        <f t="shared" si="8"/>
        <v>123.42857142857143</v>
      </c>
      <c r="R110" s="3">
        <v>-11.5</v>
      </c>
      <c r="S110" s="3">
        <v>13.6</v>
      </c>
      <c r="T110" s="3">
        <v>8.9</v>
      </c>
      <c r="U110" s="1">
        <f t="shared" si="9"/>
        <v>-12.5</v>
      </c>
      <c r="V110" s="1">
        <f t="shared" si="10"/>
        <v>10.199999999999999</v>
      </c>
      <c r="W110" s="1">
        <f t="shared" si="11"/>
        <v>10.4</v>
      </c>
      <c r="X110" s="3" t="s">
        <v>14</v>
      </c>
      <c r="Y110" s="3" t="s">
        <v>13</v>
      </c>
      <c r="Z110" s="1" t="s">
        <v>888</v>
      </c>
    </row>
    <row r="111" spans="1:26" hidden="1">
      <c r="A111" s="1" t="s">
        <v>275</v>
      </c>
      <c r="B111" s="2">
        <v>-26.299734000000001</v>
      </c>
      <c r="C111" s="2">
        <v>-48.568432999999999</v>
      </c>
      <c r="D111" s="1">
        <v>1552</v>
      </c>
      <c r="E111" s="1" t="s">
        <v>285</v>
      </c>
      <c r="G111" s="1" t="s">
        <v>26</v>
      </c>
      <c r="I111" s="2" t="s">
        <v>20</v>
      </c>
      <c r="J111" s="1" t="s">
        <v>42</v>
      </c>
      <c r="K111" s="1" t="s">
        <v>31</v>
      </c>
      <c r="L111" s="3">
        <v>35.5</v>
      </c>
      <c r="M111" s="3">
        <v>12.8</v>
      </c>
      <c r="N111" s="3">
        <v>0.2</v>
      </c>
      <c r="O111" s="3">
        <v>3.2</v>
      </c>
      <c r="P111" s="6">
        <v>473.33333333333331</v>
      </c>
      <c r="Q111" s="6">
        <f t="shared" si="8"/>
        <v>146.28571428571428</v>
      </c>
      <c r="R111" s="3">
        <v>-13.4</v>
      </c>
      <c r="S111" s="3">
        <v>12.8</v>
      </c>
      <c r="T111" s="3">
        <v>8.4</v>
      </c>
      <c r="U111" s="1">
        <f t="shared" si="9"/>
        <v>-14.4</v>
      </c>
      <c r="V111" s="1">
        <f t="shared" si="10"/>
        <v>9.4</v>
      </c>
      <c r="W111" s="1">
        <f t="shared" si="11"/>
        <v>9.9</v>
      </c>
      <c r="X111" s="3" t="s">
        <v>14</v>
      </c>
      <c r="Y111" s="3" t="s">
        <v>13</v>
      </c>
      <c r="Z111" s="1" t="s">
        <v>888</v>
      </c>
    </row>
    <row r="112" spans="1:26" hidden="1">
      <c r="A112" s="1" t="s">
        <v>275</v>
      </c>
      <c r="B112" s="2">
        <v>-26.299734000000001</v>
      </c>
      <c r="C112" s="2">
        <v>-48.568432999999999</v>
      </c>
      <c r="D112" s="1">
        <v>1579</v>
      </c>
      <c r="E112" s="1" t="s">
        <v>286</v>
      </c>
      <c r="G112" s="1" t="s">
        <v>26</v>
      </c>
      <c r="I112" s="2" t="s">
        <v>20</v>
      </c>
      <c r="J112" s="2" t="s">
        <v>20</v>
      </c>
      <c r="K112" s="1" t="s">
        <v>31</v>
      </c>
      <c r="L112" s="3">
        <v>40.9</v>
      </c>
      <c r="M112" s="3">
        <v>14.9</v>
      </c>
      <c r="N112" s="3">
        <v>0.2</v>
      </c>
      <c r="O112" s="3">
        <v>3.2</v>
      </c>
      <c r="P112" s="6">
        <v>545.33333333333326</v>
      </c>
      <c r="Q112" s="6">
        <f t="shared" si="8"/>
        <v>170.28571428571428</v>
      </c>
      <c r="R112" s="3">
        <v>-12.3</v>
      </c>
      <c r="S112" s="3">
        <v>13.5</v>
      </c>
      <c r="T112" s="3">
        <v>8.9</v>
      </c>
      <c r="U112" s="1">
        <f t="shared" si="9"/>
        <v>-13.3</v>
      </c>
      <c r="V112" s="1">
        <f t="shared" si="10"/>
        <v>10.1</v>
      </c>
      <c r="W112" s="1">
        <f t="shared" si="11"/>
        <v>10.4</v>
      </c>
      <c r="X112" s="3" t="s">
        <v>14</v>
      </c>
      <c r="Y112" s="3" t="s">
        <v>13</v>
      </c>
      <c r="Z112" s="1" t="s">
        <v>888</v>
      </c>
    </row>
    <row r="113" spans="1:26" hidden="1">
      <c r="A113" s="1" t="s">
        <v>275</v>
      </c>
      <c r="B113" s="2">
        <v>-26.299734000000001</v>
      </c>
      <c r="C113" s="2">
        <v>-48.568432999999999</v>
      </c>
      <c r="D113" s="1">
        <v>1459</v>
      </c>
      <c r="E113" s="1" t="s">
        <v>145</v>
      </c>
      <c r="G113" s="1" t="s">
        <v>26</v>
      </c>
      <c r="I113" s="2" t="s">
        <v>20</v>
      </c>
      <c r="J113" s="1" t="s">
        <v>42</v>
      </c>
      <c r="K113" s="1" t="s">
        <v>31</v>
      </c>
      <c r="L113" s="3">
        <v>38.9</v>
      </c>
      <c r="M113" s="3">
        <v>13.3</v>
      </c>
      <c r="N113" s="3">
        <v>0.2</v>
      </c>
      <c r="O113" s="3">
        <v>3.4</v>
      </c>
      <c r="P113" s="6">
        <v>518.66666666666663</v>
      </c>
      <c r="Q113" s="6">
        <f t="shared" si="8"/>
        <v>152</v>
      </c>
      <c r="R113" s="3">
        <v>-16.5</v>
      </c>
      <c r="S113" s="3">
        <v>12.4</v>
      </c>
      <c r="T113" s="3">
        <v>6.5</v>
      </c>
      <c r="U113" s="1">
        <f t="shared" si="9"/>
        <v>-17.5</v>
      </c>
      <c r="V113" s="1">
        <f t="shared" si="10"/>
        <v>9</v>
      </c>
      <c r="W113" s="1">
        <f t="shared" si="11"/>
        <v>8</v>
      </c>
      <c r="X113" s="3" t="s">
        <v>14</v>
      </c>
      <c r="Y113" s="3" t="s">
        <v>13</v>
      </c>
      <c r="Z113" s="1" t="s">
        <v>888</v>
      </c>
    </row>
    <row r="114" spans="1:26" hidden="1">
      <c r="A114" s="1" t="s">
        <v>275</v>
      </c>
      <c r="B114" s="2">
        <v>-26.299734000000001</v>
      </c>
      <c r="C114" s="2">
        <v>-48.568432999999999</v>
      </c>
      <c r="E114" s="1" t="s">
        <v>287</v>
      </c>
      <c r="G114" s="1" t="s">
        <v>26</v>
      </c>
      <c r="K114" s="1" t="s">
        <v>288</v>
      </c>
      <c r="L114" s="3"/>
      <c r="M114" s="3"/>
      <c r="O114" s="3">
        <v>3.3</v>
      </c>
      <c r="R114" s="3">
        <v>-11.6</v>
      </c>
      <c r="S114" s="3">
        <v>16.899999999999999</v>
      </c>
    </row>
    <row r="115" spans="1:26" hidden="1">
      <c r="A115" s="1" t="s">
        <v>275</v>
      </c>
      <c r="B115" s="2">
        <v>-26.299734000000001</v>
      </c>
      <c r="C115" s="2">
        <v>-48.568432999999999</v>
      </c>
      <c r="E115" s="1" t="s">
        <v>289</v>
      </c>
      <c r="G115" s="1" t="s">
        <v>26</v>
      </c>
      <c r="K115" s="1" t="s">
        <v>288</v>
      </c>
      <c r="L115" s="3"/>
      <c r="M115" s="3"/>
      <c r="O115" s="3">
        <v>3.5</v>
      </c>
      <c r="R115" s="3">
        <v>-12.2</v>
      </c>
      <c r="S115" s="3">
        <v>15</v>
      </c>
    </row>
    <row r="116" spans="1:26" hidden="1">
      <c r="A116" s="1" t="s">
        <v>275</v>
      </c>
      <c r="B116" s="2">
        <v>-26.299734000000001</v>
      </c>
      <c r="C116" s="2">
        <v>-48.568432999999999</v>
      </c>
      <c r="E116" s="1" t="s">
        <v>290</v>
      </c>
      <c r="G116" s="1" t="s">
        <v>26</v>
      </c>
      <c r="K116" s="1" t="s">
        <v>288</v>
      </c>
      <c r="L116" s="3"/>
      <c r="M116" s="3"/>
      <c r="O116" s="3">
        <v>3.4</v>
      </c>
      <c r="R116" s="3">
        <v>-12</v>
      </c>
      <c r="S116" s="3">
        <v>15.4</v>
      </c>
    </row>
    <row r="117" spans="1:26" hidden="1">
      <c r="A117" s="1" t="s">
        <v>275</v>
      </c>
      <c r="B117" s="2">
        <v>-26.299734000000001</v>
      </c>
      <c r="C117" s="2">
        <v>-48.568432999999999</v>
      </c>
      <c r="E117" s="1" t="s">
        <v>291</v>
      </c>
      <c r="G117" s="1" t="s">
        <v>26</v>
      </c>
      <c r="K117" s="1" t="s">
        <v>288</v>
      </c>
      <c r="L117" s="3"/>
      <c r="M117" s="3"/>
      <c r="O117" s="3">
        <v>3.5</v>
      </c>
      <c r="R117" s="3">
        <v>-11</v>
      </c>
      <c r="S117" s="3">
        <v>15</v>
      </c>
    </row>
    <row r="118" spans="1:26" hidden="1">
      <c r="A118" s="1" t="s">
        <v>275</v>
      </c>
      <c r="B118" s="2">
        <v>-26.299734000000001</v>
      </c>
      <c r="C118" s="2">
        <v>-48.568432999999999</v>
      </c>
      <c r="E118" s="1" t="s">
        <v>292</v>
      </c>
      <c r="G118" s="1" t="s">
        <v>26</v>
      </c>
      <c r="K118" s="1" t="s">
        <v>288</v>
      </c>
      <c r="L118" s="3"/>
      <c r="M118" s="3"/>
      <c r="O118" s="3">
        <v>3.4</v>
      </c>
      <c r="R118" s="3">
        <v>-11.4</v>
      </c>
      <c r="S118" s="3">
        <v>15.4</v>
      </c>
    </row>
    <row r="119" spans="1:26" hidden="1">
      <c r="A119" s="1" t="s">
        <v>275</v>
      </c>
      <c r="B119" s="2">
        <v>-26.299734000000001</v>
      </c>
      <c r="C119" s="2">
        <v>-48.568432999999999</v>
      </c>
      <c r="E119" s="1" t="s">
        <v>293</v>
      </c>
      <c r="G119" s="1" t="s">
        <v>26</v>
      </c>
      <c r="K119" s="1" t="s">
        <v>288</v>
      </c>
      <c r="L119" s="3"/>
      <c r="M119" s="3"/>
      <c r="O119" s="3">
        <v>3.4</v>
      </c>
      <c r="R119" s="3">
        <v>-11.2</v>
      </c>
      <c r="S119" s="3">
        <v>15.9</v>
      </c>
    </row>
    <row r="120" spans="1:26" hidden="1">
      <c r="A120" s="1" t="s">
        <v>275</v>
      </c>
      <c r="B120" s="2">
        <v>-26.299734000000001</v>
      </c>
      <c r="C120" s="2">
        <v>-48.568432999999999</v>
      </c>
      <c r="E120" s="1" t="s">
        <v>294</v>
      </c>
      <c r="G120" s="1" t="s">
        <v>26</v>
      </c>
      <c r="K120" s="1" t="s">
        <v>288</v>
      </c>
      <c r="L120" s="3"/>
      <c r="M120" s="3"/>
      <c r="O120" s="3">
        <v>3.2</v>
      </c>
      <c r="R120" s="3">
        <v>-14.6</v>
      </c>
      <c r="S120" s="3">
        <v>14.8</v>
      </c>
    </row>
    <row r="121" spans="1:26" hidden="1">
      <c r="A121" s="1" t="s">
        <v>275</v>
      </c>
      <c r="B121" s="2">
        <v>-26.299734000000001</v>
      </c>
      <c r="C121" s="2">
        <v>-48.568432999999999</v>
      </c>
      <c r="E121" s="1">
        <v>11</v>
      </c>
      <c r="G121" s="1" t="s">
        <v>26</v>
      </c>
      <c r="I121" s="1" t="s">
        <v>41</v>
      </c>
      <c r="J121" s="2" t="s">
        <v>20</v>
      </c>
      <c r="K121" s="1" t="s">
        <v>84</v>
      </c>
      <c r="L121" s="3" t="s">
        <v>295</v>
      </c>
      <c r="M121" s="3" t="s">
        <v>296</v>
      </c>
      <c r="O121" s="3">
        <v>3.62</v>
      </c>
      <c r="R121" s="3">
        <v>-12.4</v>
      </c>
      <c r="S121" s="3">
        <v>15.6</v>
      </c>
    </row>
    <row r="122" spans="1:26" hidden="1">
      <c r="A122" s="1" t="s">
        <v>275</v>
      </c>
      <c r="B122" s="2">
        <v>-26.299734000000001</v>
      </c>
      <c r="C122" s="2">
        <v>-48.568432999999999</v>
      </c>
      <c r="E122" s="1">
        <v>13</v>
      </c>
      <c r="G122" s="1" t="s">
        <v>26</v>
      </c>
      <c r="I122" s="1" t="s">
        <v>41</v>
      </c>
      <c r="J122" s="2" t="s">
        <v>20</v>
      </c>
      <c r="K122" s="1" t="s">
        <v>90</v>
      </c>
      <c r="L122" s="3" t="s">
        <v>297</v>
      </c>
      <c r="M122" s="3" t="s">
        <v>40</v>
      </c>
      <c r="O122" s="3">
        <v>2.98</v>
      </c>
      <c r="R122" s="3">
        <v>-11.7</v>
      </c>
      <c r="S122" s="3">
        <v>14.8</v>
      </c>
    </row>
    <row r="123" spans="1:26" hidden="1">
      <c r="A123" s="1" t="s">
        <v>275</v>
      </c>
      <c r="B123" s="2">
        <v>-26.299734000000001</v>
      </c>
      <c r="C123" s="2">
        <v>-48.568432999999999</v>
      </c>
      <c r="E123" s="1">
        <v>22</v>
      </c>
      <c r="G123" s="1" t="s">
        <v>26</v>
      </c>
      <c r="I123" s="1" t="s">
        <v>41</v>
      </c>
      <c r="J123" s="2" t="s">
        <v>20</v>
      </c>
      <c r="K123" s="1" t="s">
        <v>172</v>
      </c>
      <c r="L123" s="3" t="s">
        <v>298</v>
      </c>
      <c r="M123" s="3" t="s">
        <v>299</v>
      </c>
      <c r="O123" s="3">
        <v>3.6</v>
      </c>
      <c r="R123" s="3">
        <v>-10.9</v>
      </c>
      <c r="S123" s="3">
        <v>14.6</v>
      </c>
    </row>
    <row r="124" spans="1:26" hidden="1">
      <c r="A124" s="1" t="s">
        <v>275</v>
      </c>
      <c r="B124" s="2">
        <v>-26.299734000000001</v>
      </c>
      <c r="C124" s="2">
        <v>-48.568432999999999</v>
      </c>
      <c r="E124" s="1">
        <v>40</v>
      </c>
      <c r="G124" s="1" t="s">
        <v>26</v>
      </c>
      <c r="I124" s="1" t="s">
        <v>41</v>
      </c>
      <c r="J124" s="2" t="s">
        <v>20</v>
      </c>
      <c r="K124" s="1" t="s">
        <v>84</v>
      </c>
      <c r="L124" s="3" t="s">
        <v>300</v>
      </c>
      <c r="M124" s="3" t="s">
        <v>301</v>
      </c>
      <c r="O124" s="3">
        <v>3.63</v>
      </c>
      <c r="R124" s="3">
        <v>-14.8</v>
      </c>
      <c r="S124" s="3">
        <v>12.7</v>
      </c>
    </row>
    <row r="125" spans="1:26" hidden="1">
      <c r="A125" s="1" t="s">
        <v>275</v>
      </c>
      <c r="B125" s="2">
        <v>-26.299734000000001</v>
      </c>
      <c r="C125" s="2">
        <v>-48.568432999999999</v>
      </c>
      <c r="E125" s="1">
        <v>46</v>
      </c>
      <c r="G125" s="1" t="s">
        <v>26</v>
      </c>
      <c r="I125" s="1" t="s">
        <v>41</v>
      </c>
      <c r="J125" s="2" t="s">
        <v>20</v>
      </c>
      <c r="K125" s="1" t="s">
        <v>251</v>
      </c>
      <c r="L125" s="3" t="s">
        <v>302</v>
      </c>
      <c r="M125" s="3" t="s">
        <v>303</v>
      </c>
      <c r="O125" s="3">
        <v>3.29</v>
      </c>
      <c r="R125" s="3">
        <v>-10.8</v>
      </c>
      <c r="S125" s="3">
        <v>14.1</v>
      </c>
    </row>
    <row r="126" spans="1:26" hidden="1">
      <c r="A126" s="1" t="s">
        <v>275</v>
      </c>
      <c r="B126" s="2">
        <v>-26.299734000000001</v>
      </c>
      <c r="C126" s="2">
        <v>-48.568432999999999</v>
      </c>
      <c r="E126" s="1">
        <v>49</v>
      </c>
      <c r="G126" s="1" t="s">
        <v>26</v>
      </c>
      <c r="I126" s="1" t="s">
        <v>41</v>
      </c>
      <c r="J126" s="2" t="s">
        <v>20</v>
      </c>
      <c r="K126" s="1" t="s">
        <v>90</v>
      </c>
      <c r="L126" s="3" t="s">
        <v>304</v>
      </c>
      <c r="M126" s="3" t="s">
        <v>305</v>
      </c>
      <c r="O126" s="3">
        <v>3.26</v>
      </c>
      <c r="R126" s="3">
        <v>-14.8</v>
      </c>
      <c r="S126" s="3">
        <v>12.9</v>
      </c>
    </row>
    <row r="127" spans="1:26" hidden="1">
      <c r="A127" s="1" t="s">
        <v>275</v>
      </c>
      <c r="B127" s="2">
        <v>-26.299734000000001</v>
      </c>
      <c r="C127" s="2">
        <v>-48.568432999999999</v>
      </c>
      <c r="E127" s="1" t="s">
        <v>625</v>
      </c>
      <c r="G127" s="1" t="s">
        <v>215</v>
      </c>
      <c r="H127" s="7"/>
      <c r="I127" s="12"/>
      <c r="J127" s="12"/>
      <c r="K127" s="1" t="s">
        <v>288</v>
      </c>
      <c r="L127" s="3"/>
      <c r="M127" s="3"/>
      <c r="N127" s="7"/>
      <c r="O127" s="3">
        <v>3.5</v>
      </c>
      <c r="P127" s="7"/>
      <c r="Q127" s="7"/>
      <c r="R127" s="3">
        <v>-15.5</v>
      </c>
      <c r="S127" s="3">
        <v>14.7</v>
      </c>
      <c r="X127" s="7"/>
      <c r="Y127" s="7"/>
      <c r="Z127" s="7"/>
    </row>
    <row r="128" spans="1:26" hidden="1">
      <c r="A128" s="1" t="s">
        <v>275</v>
      </c>
      <c r="B128" s="2">
        <v>-26.299734000000001</v>
      </c>
      <c r="C128" s="2">
        <v>-48.568432999999999</v>
      </c>
      <c r="E128" s="1" t="s">
        <v>890</v>
      </c>
      <c r="G128" s="1" t="s">
        <v>215</v>
      </c>
      <c r="H128" s="7"/>
      <c r="I128" s="12"/>
      <c r="J128" s="12"/>
      <c r="K128" s="1" t="s">
        <v>288</v>
      </c>
      <c r="L128" s="3"/>
      <c r="M128" s="3"/>
      <c r="N128" s="7"/>
      <c r="O128" s="3">
        <v>3.4</v>
      </c>
      <c r="P128" s="7"/>
      <c r="Q128" s="7"/>
      <c r="R128" s="3">
        <v>-12.1</v>
      </c>
      <c r="S128" s="3">
        <v>16.600000000000001</v>
      </c>
      <c r="X128" s="7"/>
      <c r="Y128" s="7"/>
      <c r="Z128" s="7"/>
    </row>
    <row r="129" spans="1:26" hidden="1">
      <c r="A129" s="1" t="s">
        <v>275</v>
      </c>
      <c r="B129" s="2">
        <v>-26.299734000000001</v>
      </c>
      <c r="C129" s="2">
        <v>-48.568432999999999</v>
      </c>
      <c r="E129" s="1" t="s">
        <v>611</v>
      </c>
      <c r="G129" s="1" t="s">
        <v>215</v>
      </c>
      <c r="H129" s="7"/>
      <c r="I129" s="1" t="s">
        <v>41</v>
      </c>
      <c r="J129" s="1" t="s">
        <v>93</v>
      </c>
      <c r="K129" s="1" t="s">
        <v>177</v>
      </c>
      <c r="L129" s="3" t="s">
        <v>306</v>
      </c>
      <c r="M129" s="3" t="s">
        <v>307</v>
      </c>
      <c r="N129" s="7"/>
      <c r="O129" s="3">
        <v>3.6</v>
      </c>
      <c r="P129" s="7"/>
      <c r="Q129" s="7"/>
      <c r="R129" s="3">
        <v>-14.5</v>
      </c>
      <c r="S129" s="3">
        <v>13.9</v>
      </c>
      <c r="X129" s="7"/>
      <c r="Y129" s="7"/>
      <c r="Z129" s="7"/>
    </row>
    <row r="130" spans="1:26" hidden="1">
      <c r="A130" s="1" t="s">
        <v>275</v>
      </c>
      <c r="B130" s="2">
        <v>-26.299734000000001</v>
      </c>
      <c r="C130" s="2">
        <v>-48.568432999999999</v>
      </c>
      <c r="E130" s="1" t="s">
        <v>889</v>
      </c>
      <c r="G130" s="1" t="s">
        <v>215</v>
      </c>
      <c r="H130" s="7"/>
      <c r="I130" s="1" t="s">
        <v>41</v>
      </c>
      <c r="J130" s="2" t="s">
        <v>20</v>
      </c>
      <c r="K130" s="1" t="s">
        <v>177</v>
      </c>
      <c r="L130" s="3" t="s">
        <v>308</v>
      </c>
      <c r="M130" s="3" t="s">
        <v>309</v>
      </c>
      <c r="N130" s="7"/>
      <c r="O130" s="3">
        <v>3.22</v>
      </c>
      <c r="P130" s="7"/>
      <c r="Q130" s="7"/>
      <c r="R130" s="3">
        <v>-13.9</v>
      </c>
      <c r="S130" s="3">
        <v>14.5</v>
      </c>
      <c r="X130" s="7"/>
      <c r="Y130" s="7"/>
      <c r="Z130" s="7"/>
    </row>
    <row r="131" spans="1:26" hidden="1">
      <c r="A131" s="1" t="s">
        <v>275</v>
      </c>
      <c r="B131" s="2">
        <v>-26.299734000000001</v>
      </c>
      <c r="C131" s="2">
        <v>-48.568432999999999</v>
      </c>
      <c r="E131" s="1" t="s">
        <v>626</v>
      </c>
      <c r="G131" s="1" t="s">
        <v>215</v>
      </c>
      <c r="H131" s="7"/>
      <c r="I131" s="1" t="s">
        <v>41</v>
      </c>
      <c r="J131" s="1" t="s">
        <v>33</v>
      </c>
      <c r="K131" s="1" t="s">
        <v>310</v>
      </c>
      <c r="L131" s="3" t="s">
        <v>311</v>
      </c>
      <c r="M131" s="3" t="s">
        <v>53</v>
      </c>
      <c r="N131" s="7"/>
      <c r="O131" s="3">
        <v>3.32</v>
      </c>
      <c r="P131" s="7"/>
      <c r="Q131" s="7"/>
      <c r="R131" s="3">
        <v>-13.3</v>
      </c>
      <c r="S131" s="3">
        <v>15.5</v>
      </c>
      <c r="X131" s="7"/>
      <c r="Y131" s="7"/>
      <c r="Z131" s="7"/>
    </row>
    <row r="132" spans="1:26" hidden="1">
      <c r="A132" s="7" t="s">
        <v>2</v>
      </c>
      <c r="B132" s="2" t="s">
        <v>8</v>
      </c>
      <c r="C132" s="2" t="s">
        <v>9</v>
      </c>
      <c r="D132" s="1" t="s">
        <v>312</v>
      </c>
      <c r="E132" s="1" t="s">
        <v>285</v>
      </c>
      <c r="G132" s="1" t="s">
        <v>215</v>
      </c>
      <c r="I132" s="1" t="s">
        <v>41</v>
      </c>
      <c r="J132" s="2" t="s">
        <v>20</v>
      </c>
      <c r="K132" s="2" t="s">
        <v>20</v>
      </c>
      <c r="L132" s="3">
        <v>40.4</v>
      </c>
      <c r="M132" s="3">
        <v>14.3</v>
      </c>
      <c r="N132" s="3">
        <v>0.2</v>
      </c>
      <c r="O132" s="3">
        <v>3.3</v>
      </c>
      <c r="P132" s="6">
        <v>538.66666666666663</v>
      </c>
      <c r="Q132" s="6">
        <f>M132/N132*32/14</f>
        <v>163.42857142857142</v>
      </c>
      <c r="R132" s="3">
        <v>-10.9</v>
      </c>
      <c r="S132" s="3">
        <v>18.3</v>
      </c>
      <c r="T132" s="3">
        <v>14.1</v>
      </c>
      <c r="U132" s="1">
        <f>R132-1</f>
        <v>-11.9</v>
      </c>
      <c r="V132" s="1">
        <f>S132-3.4</f>
        <v>14.9</v>
      </c>
      <c r="W132" s="1">
        <f>T132+1.5</f>
        <v>15.6</v>
      </c>
      <c r="X132" s="3" t="s">
        <v>14</v>
      </c>
      <c r="Y132" s="3" t="s">
        <v>13</v>
      </c>
      <c r="Z132" s="1" t="s">
        <v>888</v>
      </c>
    </row>
    <row r="133" spans="1:26" hidden="1">
      <c r="A133" s="7" t="s">
        <v>2</v>
      </c>
      <c r="B133" s="2" t="s">
        <v>8</v>
      </c>
      <c r="C133" s="2" t="s">
        <v>9</v>
      </c>
      <c r="D133" s="1" t="s">
        <v>313</v>
      </c>
      <c r="E133" s="1" t="s">
        <v>141</v>
      </c>
      <c r="G133" s="1" t="s">
        <v>215</v>
      </c>
      <c r="I133" s="1" t="s">
        <v>41</v>
      </c>
      <c r="J133" s="1" t="s">
        <v>42</v>
      </c>
      <c r="K133" s="2" t="s">
        <v>20</v>
      </c>
      <c r="L133" s="3">
        <v>39.299999999999997</v>
      </c>
      <c r="M133" s="3">
        <v>14.2</v>
      </c>
      <c r="N133" s="3">
        <v>0.2</v>
      </c>
      <c r="O133" s="3">
        <v>3.2</v>
      </c>
      <c r="P133" s="6">
        <v>523.99999999999989</v>
      </c>
      <c r="Q133" s="6">
        <f>M133/N133*32/14</f>
        <v>162.28571428571425</v>
      </c>
      <c r="R133" s="3">
        <v>-11.1</v>
      </c>
      <c r="S133" s="3">
        <v>17.399999999999999</v>
      </c>
      <c r="T133" s="3">
        <v>13.2</v>
      </c>
      <c r="U133" s="1">
        <f>R133-1</f>
        <v>-12.1</v>
      </c>
      <c r="V133" s="1">
        <f>S133-3.4</f>
        <v>13.999999999999998</v>
      </c>
      <c r="W133" s="1">
        <f>T133+1.5</f>
        <v>14.7</v>
      </c>
      <c r="X133" s="3" t="s">
        <v>14</v>
      </c>
      <c r="Y133" s="1" t="s">
        <v>13</v>
      </c>
      <c r="Z133" s="1" t="s">
        <v>888</v>
      </c>
    </row>
    <row r="134" spans="1:26" hidden="1">
      <c r="A134" s="7" t="s">
        <v>2</v>
      </c>
      <c r="B134" s="2" t="s">
        <v>8</v>
      </c>
      <c r="C134" s="2" t="s">
        <v>9</v>
      </c>
      <c r="D134" s="1" t="s">
        <v>314</v>
      </c>
      <c r="E134" s="1" t="s">
        <v>145</v>
      </c>
      <c r="G134" s="1" t="s">
        <v>215</v>
      </c>
      <c r="I134" s="1" t="s">
        <v>41</v>
      </c>
      <c r="J134" s="1" t="s">
        <v>33</v>
      </c>
      <c r="K134" s="2" t="s">
        <v>20</v>
      </c>
      <c r="L134" s="3">
        <v>42.2</v>
      </c>
      <c r="M134" s="3">
        <v>15.3</v>
      </c>
      <c r="N134" s="3">
        <v>0.2</v>
      </c>
      <c r="O134" s="3">
        <v>3.2</v>
      </c>
      <c r="P134" s="6">
        <v>562.66666666666663</v>
      </c>
      <c r="Q134" s="6">
        <f>M134/N134*32/14</f>
        <v>174.85714285714286</v>
      </c>
      <c r="R134" s="3">
        <v>-14.1</v>
      </c>
      <c r="S134" s="3">
        <v>16.2</v>
      </c>
      <c r="T134" s="3">
        <v>16.399999999999999</v>
      </c>
      <c r="U134" s="1">
        <f>R134-1</f>
        <v>-15.1</v>
      </c>
      <c r="V134" s="1">
        <f>S134-3.4</f>
        <v>12.799999999999999</v>
      </c>
      <c r="W134" s="1">
        <f>T134+1.5</f>
        <v>17.899999999999999</v>
      </c>
      <c r="X134" s="3" t="s">
        <v>14</v>
      </c>
      <c r="Y134" s="1" t="s">
        <v>13</v>
      </c>
      <c r="Z134" s="1" t="s">
        <v>888</v>
      </c>
    </row>
    <row r="135" spans="1:26" hidden="1">
      <c r="A135" s="7" t="s">
        <v>2</v>
      </c>
      <c r="B135" s="2" t="s">
        <v>8</v>
      </c>
      <c r="C135" s="2" t="s">
        <v>9</v>
      </c>
      <c r="D135" s="1" t="s">
        <v>315</v>
      </c>
      <c r="E135" s="1" t="s">
        <v>316</v>
      </c>
      <c r="G135" s="1" t="s">
        <v>215</v>
      </c>
      <c r="I135" s="2" t="s">
        <v>20</v>
      </c>
      <c r="J135" s="2" t="s">
        <v>20</v>
      </c>
      <c r="K135" s="2" t="s">
        <v>20</v>
      </c>
      <c r="L135" s="3">
        <v>42.9</v>
      </c>
      <c r="M135" s="3">
        <v>15.8</v>
      </c>
      <c r="N135" s="3">
        <v>0.2</v>
      </c>
      <c r="O135" s="3">
        <v>3.2</v>
      </c>
      <c r="P135" s="6">
        <v>571.99999999999989</v>
      </c>
      <c r="Q135" s="6">
        <f>M135/N135*32/14</f>
        <v>180.57142857142858</v>
      </c>
      <c r="R135" s="3">
        <v>-10.5</v>
      </c>
      <c r="S135" s="3">
        <v>17.100000000000001</v>
      </c>
      <c r="T135" s="3">
        <v>12.7</v>
      </c>
      <c r="U135" s="1">
        <f>R135-1</f>
        <v>-11.5</v>
      </c>
      <c r="V135" s="1">
        <f>S135-3.4</f>
        <v>13.700000000000001</v>
      </c>
      <c r="W135" s="1">
        <f>T135+1.5</f>
        <v>14.2</v>
      </c>
      <c r="X135" s="3" t="s">
        <v>14</v>
      </c>
      <c r="Y135" s="1" t="s">
        <v>13</v>
      </c>
      <c r="Z135" s="1" t="s">
        <v>888</v>
      </c>
    </row>
    <row r="136" spans="1:26" hidden="1">
      <c r="A136" s="7" t="s">
        <v>2</v>
      </c>
      <c r="B136" s="2" t="s">
        <v>8</v>
      </c>
      <c r="C136" s="2" t="s">
        <v>9</v>
      </c>
      <c r="D136" s="1" t="s">
        <v>317</v>
      </c>
      <c r="E136" s="1" t="s">
        <v>279</v>
      </c>
      <c r="G136" s="1" t="s">
        <v>215</v>
      </c>
      <c r="I136" s="1" t="s">
        <v>41</v>
      </c>
      <c r="J136" s="2" t="s">
        <v>20</v>
      </c>
      <c r="K136" s="2" t="s">
        <v>20</v>
      </c>
      <c r="L136" s="3">
        <v>31</v>
      </c>
      <c r="M136" s="3">
        <v>10.4</v>
      </c>
      <c r="N136" s="3">
        <v>0.2</v>
      </c>
      <c r="O136" s="3">
        <v>3.5</v>
      </c>
      <c r="P136" s="6">
        <v>413.33333333333331</v>
      </c>
      <c r="Q136" s="6">
        <f>M136/N136*32/14</f>
        <v>118.85714285714286</v>
      </c>
      <c r="R136" s="3">
        <v>-11.4</v>
      </c>
      <c r="S136" s="3">
        <v>17.3</v>
      </c>
      <c r="T136" s="3">
        <v>15.4</v>
      </c>
      <c r="U136" s="1">
        <f>R136-1</f>
        <v>-12.4</v>
      </c>
      <c r="V136" s="1">
        <f>S136-3.4</f>
        <v>13.9</v>
      </c>
      <c r="W136" s="1">
        <f>T136+1.5</f>
        <v>16.899999999999999</v>
      </c>
      <c r="X136" s="3" t="s">
        <v>14</v>
      </c>
      <c r="Y136" s="1" t="s">
        <v>13</v>
      </c>
      <c r="Z136" s="1" t="s">
        <v>888</v>
      </c>
    </row>
    <row r="137" spans="1:26" hidden="1">
      <c r="A137" s="1" t="s">
        <v>2</v>
      </c>
      <c r="B137" s="2" t="s">
        <v>8</v>
      </c>
      <c r="C137" s="2" t="s">
        <v>9</v>
      </c>
      <c r="E137" s="1" t="s">
        <v>318</v>
      </c>
      <c r="G137" s="1" t="s">
        <v>215</v>
      </c>
      <c r="H137" s="7"/>
      <c r="I137" s="1" t="s">
        <v>319</v>
      </c>
      <c r="J137" s="2" t="s">
        <v>20</v>
      </c>
      <c r="K137" s="1" t="s">
        <v>31</v>
      </c>
      <c r="L137" s="3" t="s">
        <v>320</v>
      </c>
      <c r="M137" s="3" t="s">
        <v>321</v>
      </c>
      <c r="N137" s="7"/>
      <c r="O137" s="3" t="s">
        <v>322</v>
      </c>
      <c r="P137" s="7"/>
      <c r="Q137" s="7"/>
      <c r="R137" s="3">
        <v>-11.4</v>
      </c>
      <c r="S137" s="3">
        <v>17.3</v>
      </c>
      <c r="X137" s="7"/>
      <c r="Y137" s="7"/>
      <c r="Z137" s="7"/>
    </row>
    <row r="138" spans="1:26" hidden="1">
      <c r="A138" s="1" t="s">
        <v>2</v>
      </c>
      <c r="B138" s="2" t="s">
        <v>8</v>
      </c>
      <c r="C138" s="2" t="s">
        <v>9</v>
      </c>
      <c r="E138" s="1" t="s">
        <v>323</v>
      </c>
      <c r="G138" s="1" t="s">
        <v>215</v>
      </c>
      <c r="H138" s="7"/>
      <c r="I138" s="1" t="s">
        <v>77</v>
      </c>
      <c r="J138" s="1" t="s">
        <v>42</v>
      </c>
      <c r="K138" s="1" t="s">
        <v>31</v>
      </c>
      <c r="L138" s="3" t="s">
        <v>324</v>
      </c>
      <c r="M138" s="3" t="s">
        <v>325</v>
      </c>
      <c r="N138" s="7"/>
      <c r="O138" s="3" t="s">
        <v>326</v>
      </c>
      <c r="P138" s="7"/>
      <c r="Q138" s="7"/>
      <c r="R138" s="3">
        <v>-14.1</v>
      </c>
      <c r="S138" s="3">
        <v>16.2</v>
      </c>
      <c r="X138" s="7"/>
      <c r="Y138" s="7"/>
      <c r="Z138" s="7"/>
    </row>
    <row r="139" spans="1:26" hidden="1">
      <c r="A139" s="1" t="s">
        <v>327</v>
      </c>
      <c r="B139" s="2">
        <v>-26.363000700000001</v>
      </c>
      <c r="C139" s="2">
        <v>-48.629235000000001</v>
      </c>
      <c r="D139" s="1" t="s">
        <v>328</v>
      </c>
      <c r="E139" s="1" t="s">
        <v>329</v>
      </c>
      <c r="G139" s="1" t="s">
        <v>26</v>
      </c>
      <c r="I139" s="2" t="s">
        <v>20</v>
      </c>
      <c r="J139" s="2" t="s">
        <v>20</v>
      </c>
      <c r="K139" s="1" t="s">
        <v>130</v>
      </c>
      <c r="L139" s="3">
        <v>37.9</v>
      </c>
      <c r="M139" s="3">
        <v>13.8</v>
      </c>
      <c r="N139" s="3">
        <v>0.18</v>
      </c>
      <c r="O139" s="3">
        <v>3.2</v>
      </c>
      <c r="P139" s="6">
        <v>561.48148148148141</v>
      </c>
      <c r="Q139" s="6">
        <f t="shared" ref="Q139:Q202" si="12">M139/N139*32/14</f>
        <v>175.23809523809524</v>
      </c>
      <c r="R139" s="3">
        <v>-12.6</v>
      </c>
      <c r="S139" s="3">
        <v>14.4</v>
      </c>
      <c r="T139" s="3">
        <v>10.7</v>
      </c>
      <c r="U139" s="1">
        <f t="shared" ref="U139:U170" si="13">R139-1</f>
        <v>-13.6</v>
      </c>
      <c r="V139" s="1">
        <f t="shared" ref="V139:V202" si="14">S139-3.4</f>
        <v>11</v>
      </c>
      <c r="W139" s="1">
        <f t="shared" ref="W139:W202" si="15">T139+1.5</f>
        <v>12.2</v>
      </c>
      <c r="X139" s="3" t="s">
        <v>11</v>
      </c>
      <c r="Y139" s="1" t="s">
        <v>12</v>
      </c>
      <c r="Z139" s="1" t="s">
        <v>888</v>
      </c>
    </row>
    <row r="140" spans="1:26" hidden="1">
      <c r="A140" s="1" t="s">
        <v>10</v>
      </c>
      <c r="B140" s="2">
        <v>-25.354199999999999</v>
      </c>
      <c r="C140" s="2">
        <v>-48.281799999999997</v>
      </c>
      <c r="D140" s="1" t="s">
        <v>330</v>
      </c>
      <c r="E140" s="1">
        <v>2885</v>
      </c>
      <c r="G140" s="1" t="s">
        <v>26</v>
      </c>
      <c r="I140" s="2" t="s">
        <v>20</v>
      </c>
      <c r="J140" s="2" t="s">
        <v>20</v>
      </c>
      <c r="K140" s="1" t="s">
        <v>27</v>
      </c>
      <c r="L140" s="3">
        <v>40.5</v>
      </c>
      <c r="M140" s="3">
        <v>14</v>
      </c>
      <c r="N140" s="3">
        <v>0.21</v>
      </c>
      <c r="O140" s="3">
        <v>3.4</v>
      </c>
      <c r="P140" s="6">
        <v>514.28571428571433</v>
      </c>
      <c r="Q140" s="6">
        <f t="shared" si="12"/>
        <v>152.38095238095238</v>
      </c>
      <c r="R140" s="3">
        <v>-12.1</v>
      </c>
      <c r="S140" s="3">
        <v>14.4</v>
      </c>
      <c r="T140" s="3">
        <v>8.5</v>
      </c>
      <c r="U140" s="1">
        <f t="shared" si="13"/>
        <v>-13.1</v>
      </c>
      <c r="V140" s="1">
        <f t="shared" si="14"/>
        <v>11</v>
      </c>
      <c r="W140" s="1">
        <f t="shared" si="15"/>
        <v>10</v>
      </c>
      <c r="X140" s="3" t="s">
        <v>11</v>
      </c>
      <c r="Y140" s="1" t="s">
        <v>12</v>
      </c>
      <c r="Z140" s="1" t="s">
        <v>888</v>
      </c>
    </row>
    <row r="141" spans="1:26" hidden="1">
      <c r="A141" s="1" t="s">
        <v>10</v>
      </c>
      <c r="B141" s="2">
        <v>-25.354199999999999</v>
      </c>
      <c r="C141" s="2">
        <v>-48.281799999999997</v>
      </c>
      <c r="D141" s="1" t="s">
        <v>331</v>
      </c>
      <c r="E141" s="1" t="s">
        <v>332</v>
      </c>
      <c r="G141" s="1" t="s">
        <v>26</v>
      </c>
      <c r="I141" s="1" t="s">
        <v>20</v>
      </c>
      <c r="J141" s="2" t="s">
        <v>20</v>
      </c>
      <c r="K141" s="1" t="s">
        <v>333</v>
      </c>
      <c r="L141" s="3">
        <v>38.799999999999997</v>
      </c>
      <c r="M141" s="3">
        <v>13.1</v>
      </c>
      <c r="N141" s="3">
        <v>0.2</v>
      </c>
      <c r="O141" s="3">
        <v>3.4</v>
      </c>
      <c r="P141" s="6">
        <v>517.33333333333326</v>
      </c>
      <c r="Q141" s="6">
        <f t="shared" si="12"/>
        <v>149.71428571428572</v>
      </c>
      <c r="R141" s="3">
        <v>-12.9</v>
      </c>
      <c r="S141" s="3">
        <v>14.4</v>
      </c>
      <c r="T141" s="3">
        <v>12.1</v>
      </c>
      <c r="U141" s="1">
        <f t="shared" si="13"/>
        <v>-13.9</v>
      </c>
      <c r="V141" s="1">
        <f t="shared" si="14"/>
        <v>11</v>
      </c>
      <c r="W141" s="1">
        <f t="shared" si="15"/>
        <v>13.6</v>
      </c>
      <c r="X141" s="3" t="s">
        <v>11</v>
      </c>
      <c r="Y141" s="1" t="s">
        <v>12</v>
      </c>
      <c r="Z141" s="1" t="s">
        <v>888</v>
      </c>
    </row>
    <row r="142" spans="1:26" hidden="1">
      <c r="A142" s="1" t="s">
        <v>10</v>
      </c>
      <c r="B142" s="2">
        <v>-25.354199999999999</v>
      </c>
      <c r="C142" s="2">
        <v>-48.281799999999997</v>
      </c>
      <c r="D142" s="1" t="s">
        <v>334</v>
      </c>
      <c r="E142" s="1" t="s">
        <v>335</v>
      </c>
      <c r="G142" s="1" t="s">
        <v>26</v>
      </c>
      <c r="I142" s="1" t="s">
        <v>20</v>
      </c>
      <c r="J142" s="2" t="s">
        <v>20</v>
      </c>
      <c r="K142" s="1" t="s">
        <v>27</v>
      </c>
      <c r="L142" s="3">
        <v>33.706000000000003</v>
      </c>
      <c r="M142" s="3">
        <v>11.273</v>
      </c>
      <c r="N142" s="3">
        <v>0.215</v>
      </c>
      <c r="O142" s="3">
        <v>3.4870000000000001</v>
      </c>
      <c r="P142" s="6">
        <v>418.05891472868217</v>
      </c>
      <c r="Q142" s="6">
        <f t="shared" si="12"/>
        <v>119.84584717607973</v>
      </c>
      <c r="R142" s="3">
        <v>-11.493</v>
      </c>
      <c r="S142" s="3">
        <v>14.949</v>
      </c>
      <c r="T142" s="3">
        <v>10.026</v>
      </c>
      <c r="U142" s="1">
        <f t="shared" si="13"/>
        <v>-12.493</v>
      </c>
      <c r="V142" s="1">
        <f t="shared" si="14"/>
        <v>11.548999999999999</v>
      </c>
      <c r="W142" s="1">
        <f t="shared" si="15"/>
        <v>11.526</v>
      </c>
      <c r="X142" s="3" t="s">
        <v>11</v>
      </c>
      <c r="Y142" s="1" t="s">
        <v>12</v>
      </c>
      <c r="Z142" s="1" t="s">
        <v>888</v>
      </c>
    </row>
    <row r="143" spans="1:26" hidden="1">
      <c r="A143" s="1" t="s">
        <v>10</v>
      </c>
      <c r="B143" s="2">
        <v>-25.354199999999999</v>
      </c>
      <c r="C143" s="2">
        <v>-48.281799999999997</v>
      </c>
      <c r="D143" s="1" t="s">
        <v>336</v>
      </c>
      <c r="E143" s="1" t="s">
        <v>337</v>
      </c>
      <c r="G143" s="1" t="s">
        <v>26</v>
      </c>
      <c r="I143" s="1" t="s">
        <v>20</v>
      </c>
      <c r="J143" s="2" t="s">
        <v>20</v>
      </c>
      <c r="K143" s="1" t="s">
        <v>27</v>
      </c>
      <c r="L143" s="3">
        <v>30.2</v>
      </c>
      <c r="M143" s="3">
        <v>10.7</v>
      </c>
      <c r="N143" s="3">
        <v>0.38</v>
      </c>
      <c r="O143" s="3">
        <v>3.3</v>
      </c>
      <c r="P143" s="6">
        <v>211.92982456140351</v>
      </c>
      <c r="Q143" s="6">
        <f t="shared" si="12"/>
        <v>64.36090225563909</v>
      </c>
      <c r="R143" s="3">
        <v>-12.4</v>
      </c>
      <c r="S143" s="3">
        <v>14.3</v>
      </c>
      <c r="T143" s="3">
        <v>8.5</v>
      </c>
      <c r="U143" s="1">
        <f t="shared" si="13"/>
        <v>-13.4</v>
      </c>
      <c r="V143" s="1">
        <f t="shared" si="14"/>
        <v>10.9</v>
      </c>
      <c r="W143" s="1">
        <f t="shared" si="15"/>
        <v>10</v>
      </c>
      <c r="X143" s="3" t="s">
        <v>11</v>
      </c>
      <c r="Y143" s="1" t="s">
        <v>12</v>
      </c>
      <c r="Z143" s="1" t="s">
        <v>888</v>
      </c>
    </row>
    <row r="144" spans="1:26" hidden="1">
      <c r="A144" s="1" t="s">
        <v>10</v>
      </c>
      <c r="B144" s="2">
        <v>-25.354199999999999</v>
      </c>
      <c r="C144" s="2">
        <v>-48.281799999999997</v>
      </c>
      <c r="D144" s="1" t="s">
        <v>338</v>
      </c>
      <c r="E144" s="1" t="s">
        <v>339</v>
      </c>
      <c r="G144" s="1" t="s">
        <v>26</v>
      </c>
      <c r="I144" s="1" t="s">
        <v>20</v>
      </c>
      <c r="J144" s="2" t="s">
        <v>20</v>
      </c>
      <c r="K144" s="1" t="s">
        <v>340</v>
      </c>
      <c r="L144" s="3">
        <v>40.700000000000003</v>
      </c>
      <c r="M144" s="3">
        <v>13.3</v>
      </c>
      <c r="N144" s="3">
        <v>0.24</v>
      </c>
      <c r="O144" s="3">
        <v>3.6</v>
      </c>
      <c r="P144" s="6">
        <v>452.22222222222223</v>
      </c>
      <c r="Q144" s="6">
        <f t="shared" si="12"/>
        <v>126.66666666666667</v>
      </c>
      <c r="R144" s="3">
        <v>-13.4</v>
      </c>
      <c r="S144" s="3">
        <v>15.9</v>
      </c>
      <c r="T144" s="3">
        <v>10.3</v>
      </c>
      <c r="U144" s="1">
        <f t="shared" si="13"/>
        <v>-14.4</v>
      </c>
      <c r="V144" s="1">
        <f t="shared" si="14"/>
        <v>12.5</v>
      </c>
      <c r="W144" s="1">
        <f t="shared" si="15"/>
        <v>11.8</v>
      </c>
      <c r="X144" s="3" t="s">
        <v>11</v>
      </c>
      <c r="Y144" s="1" t="s">
        <v>12</v>
      </c>
      <c r="Z144" s="1" t="s">
        <v>888</v>
      </c>
    </row>
    <row r="145" spans="1:27" hidden="1">
      <c r="A145" s="1" t="s">
        <v>10</v>
      </c>
      <c r="B145" s="2">
        <v>-25.354199999999999</v>
      </c>
      <c r="C145" s="2">
        <v>-48.281799999999997</v>
      </c>
      <c r="D145" s="1" t="s">
        <v>341</v>
      </c>
      <c r="E145" s="1" t="s">
        <v>342</v>
      </c>
      <c r="G145" s="1" t="s">
        <v>26</v>
      </c>
      <c r="I145" s="1" t="s">
        <v>20</v>
      </c>
      <c r="J145" s="2" t="s">
        <v>20</v>
      </c>
      <c r="K145" s="1" t="s">
        <v>27</v>
      </c>
      <c r="L145" s="3">
        <v>40</v>
      </c>
      <c r="M145" s="3">
        <v>13</v>
      </c>
      <c r="N145" s="3">
        <v>0.2</v>
      </c>
      <c r="O145" s="3">
        <v>3.6</v>
      </c>
      <c r="P145" s="6">
        <v>533.33333333333337</v>
      </c>
      <c r="Q145" s="6">
        <f t="shared" si="12"/>
        <v>148.57142857142858</v>
      </c>
      <c r="R145" s="3">
        <v>-12.1</v>
      </c>
      <c r="S145" s="3">
        <v>15.8</v>
      </c>
      <c r="T145" s="3">
        <v>10.9</v>
      </c>
      <c r="U145" s="1">
        <f t="shared" si="13"/>
        <v>-13.1</v>
      </c>
      <c r="V145" s="1">
        <f t="shared" si="14"/>
        <v>12.4</v>
      </c>
      <c r="W145" s="1">
        <f t="shared" si="15"/>
        <v>12.4</v>
      </c>
      <c r="X145" s="3" t="s">
        <v>11</v>
      </c>
      <c r="Y145" s="1" t="s">
        <v>12</v>
      </c>
      <c r="Z145" s="1" t="s">
        <v>888</v>
      </c>
    </row>
    <row r="146" spans="1:27" hidden="1">
      <c r="A146" s="1" t="s">
        <v>10</v>
      </c>
      <c r="B146" s="2">
        <v>-25.354199999999999</v>
      </c>
      <c r="C146" s="2">
        <v>-48.281799999999997</v>
      </c>
      <c r="D146" s="1" t="s">
        <v>343</v>
      </c>
      <c r="E146" s="1" t="s">
        <v>344</v>
      </c>
      <c r="G146" s="1" t="s">
        <v>26</v>
      </c>
      <c r="I146" s="1" t="s">
        <v>20</v>
      </c>
      <c r="J146" s="2" t="s">
        <v>20</v>
      </c>
      <c r="K146" s="1" t="s">
        <v>345</v>
      </c>
      <c r="L146" s="3">
        <v>27.9</v>
      </c>
      <c r="M146" s="3">
        <v>9.6</v>
      </c>
      <c r="N146" s="3">
        <v>0.2</v>
      </c>
      <c r="O146" s="3">
        <v>3.4</v>
      </c>
      <c r="P146" s="6">
        <v>371.99999999999994</v>
      </c>
      <c r="Q146" s="6">
        <f t="shared" si="12"/>
        <v>109.71428571428569</v>
      </c>
      <c r="R146" s="3">
        <v>-11.7</v>
      </c>
      <c r="S146" s="3">
        <v>14.7</v>
      </c>
      <c r="T146" s="3">
        <v>11</v>
      </c>
      <c r="U146" s="1">
        <f t="shared" si="13"/>
        <v>-12.7</v>
      </c>
      <c r="V146" s="1">
        <f t="shared" si="14"/>
        <v>11.299999999999999</v>
      </c>
      <c r="W146" s="1">
        <f t="shared" si="15"/>
        <v>12.5</v>
      </c>
      <c r="X146" s="3" t="s">
        <v>11</v>
      </c>
      <c r="Y146" s="1" t="s">
        <v>12</v>
      </c>
      <c r="Z146" s="1" t="s">
        <v>888</v>
      </c>
    </row>
    <row r="147" spans="1:27" hidden="1">
      <c r="A147" s="1" t="s">
        <v>10</v>
      </c>
      <c r="B147" s="2">
        <v>-25.354199999999999</v>
      </c>
      <c r="C147" s="2">
        <v>-48.281799999999997</v>
      </c>
      <c r="D147" s="1" t="s">
        <v>346</v>
      </c>
      <c r="E147" s="1" t="s">
        <v>347</v>
      </c>
      <c r="G147" s="1" t="s">
        <v>26</v>
      </c>
      <c r="I147" s="1" t="s">
        <v>20</v>
      </c>
      <c r="J147" s="2" t="s">
        <v>20</v>
      </c>
      <c r="K147" s="1" t="s">
        <v>340</v>
      </c>
      <c r="L147" s="3">
        <v>34.1</v>
      </c>
      <c r="M147" s="3">
        <v>11.5</v>
      </c>
      <c r="N147" s="3">
        <v>0.2</v>
      </c>
      <c r="O147" s="3">
        <v>3.4</v>
      </c>
      <c r="P147" s="6">
        <v>454.66666666666669</v>
      </c>
      <c r="Q147" s="6">
        <f t="shared" si="12"/>
        <v>131.42857142857142</v>
      </c>
      <c r="R147" s="3">
        <v>-13.4</v>
      </c>
      <c r="S147" s="3">
        <v>14.3</v>
      </c>
      <c r="T147" s="3">
        <v>10.199999999999999</v>
      </c>
      <c r="U147" s="1">
        <f t="shared" si="13"/>
        <v>-14.4</v>
      </c>
      <c r="V147" s="1">
        <f t="shared" si="14"/>
        <v>10.9</v>
      </c>
      <c r="W147" s="1">
        <f t="shared" si="15"/>
        <v>11.7</v>
      </c>
      <c r="X147" s="3" t="s">
        <v>11</v>
      </c>
      <c r="Y147" s="1" t="s">
        <v>12</v>
      </c>
      <c r="Z147" s="1" t="s">
        <v>888</v>
      </c>
    </row>
    <row r="148" spans="1:27" hidden="1">
      <c r="A148" s="1" t="s">
        <v>10</v>
      </c>
      <c r="B148" s="2">
        <v>-25.354199999999999</v>
      </c>
      <c r="C148" s="2">
        <v>-48.281799999999997</v>
      </c>
      <c r="D148" s="1" t="s">
        <v>348</v>
      </c>
      <c r="E148" s="1" t="s">
        <v>349</v>
      </c>
      <c r="G148" s="1" t="s">
        <v>26</v>
      </c>
      <c r="I148" s="1" t="s">
        <v>20</v>
      </c>
      <c r="J148" s="2" t="s">
        <v>20</v>
      </c>
      <c r="K148" s="1" t="s">
        <v>31</v>
      </c>
      <c r="L148" s="3">
        <v>41.7</v>
      </c>
      <c r="M148" s="3">
        <v>13.8</v>
      </c>
      <c r="N148" s="3">
        <v>0.2</v>
      </c>
      <c r="O148" s="3">
        <v>3.5</v>
      </c>
      <c r="P148" s="6">
        <v>556</v>
      </c>
      <c r="Q148" s="6">
        <f t="shared" si="12"/>
        <v>157.71428571428572</v>
      </c>
      <c r="R148" s="3">
        <v>-10.7</v>
      </c>
      <c r="S148" s="3">
        <v>14.8</v>
      </c>
      <c r="T148" s="3">
        <v>8.5</v>
      </c>
      <c r="U148" s="1">
        <f t="shared" si="13"/>
        <v>-11.7</v>
      </c>
      <c r="V148" s="1">
        <f t="shared" si="14"/>
        <v>11.4</v>
      </c>
      <c r="W148" s="1">
        <f t="shared" si="15"/>
        <v>10</v>
      </c>
      <c r="X148" s="3" t="s">
        <v>11</v>
      </c>
      <c r="Y148" s="1" t="s">
        <v>12</v>
      </c>
      <c r="Z148" s="1" t="s">
        <v>888</v>
      </c>
    </row>
    <row r="149" spans="1:27" hidden="1">
      <c r="A149" s="1" t="s">
        <v>10</v>
      </c>
      <c r="B149" s="2">
        <v>-25.354199999999999</v>
      </c>
      <c r="C149" s="2">
        <v>-48.281799999999997</v>
      </c>
      <c r="D149" s="1" t="s">
        <v>350</v>
      </c>
      <c r="E149" s="1" t="s">
        <v>351</v>
      </c>
      <c r="G149" s="1" t="s">
        <v>26</v>
      </c>
      <c r="I149" s="1" t="s">
        <v>20</v>
      </c>
      <c r="J149" s="2" t="s">
        <v>20</v>
      </c>
      <c r="K149" s="1" t="s">
        <v>31</v>
      </c>
      <c r="L149" s="3">
        <v>38.9</v>
      </c>
      <c r="M149" s="3">
        <v>14.1</v>
      </c>
      <c r="N149" s="3">
        <v>0.19</v>
      </c>
      <c r="O149" s="3">
        <v>3.2</v>
      </c>
      <c r="P149" s="6">
        <v>545.9649122807017</v>
      </c>
      <c r="Q149" s="6">
        <f t="shared" si="12"/>
        <v>169.62406015037593</v>
      </c>
      <c r="R149" s="3">
        <v>-10.5</v>
      </c>
      <c r="S149" s="3">
        <v>14.3</v>
      </c>
      <c r="T149" s="3">
        <v>8.4</v>
      </c>
      <c r="U149" s="1">
        <f t="shared" si="13"/>
        <v>-11.5</v>
      </c>
      <c r="V149" s="1">
        <f t="shared" si="14"/>
        <v>10.9</v>
      </c>
      <c r="W149" s="1">
        <f t="shared" si="15"/>
        <v>9.9</v>
      </c>
      <c r="X149" s="3" t="s">
        <v>11</v>
      </c>
      <c r="Y149" s="1" t="s">
        <v>12</v>
      </c>
      <c r="Z149" s="1" t="s">
        <v>888</v>
      </c>
    </row>
    <row r="150" spans="1:27" hidden="1">
      <c r="A150" s="1" t="s">
        <v>10</v>
      </c>
      <c r="B150" s="2">
        <v>-25.354199999999999</v>
      </c>
      <c r="C150" s="2">
        <v>-48.281799999999997</v>
      </c>
      <c r="D150" s="1" t="s">
        <v>352</v>
      </c>
      <c r="E150" s="1" t="s">
        <v>353</v>
      </c>
      <c r="G150" s="1" t="s">
        <v>26</v>
      </c>
      <c r="I150" s="1" t="s">
        <v>20</v>
      </c>
      <c r="J150" s="2" t="s">
        <v>20</v>
      </c>
      <c r="K150" s="1" t="s">
        <v>27</v>
      </c>
      <c r="L150" s="3">
        <v>33.17</v>
      </c>
      <c r="M150" s="3">
        <v>12.13</v>
      </c>
      <c r="N150" s="3">
        <v>0.16</v>
      </c>
      <c r="O150" s="3">
        <v>3.2</v>
      </c>
      <c r="P150" s="6">
        <v>552.83333333333337</v>
      </c>
      <c r="Q150" s="6">
        <f t="shared" si="12"/>
        <v>173.28571428571428</v>
      </c>
      <c r="R150" s="3">
        <v>-11.72</v>
      </c>
      <c r="S150" s="3">
        <v>15.15</v>
      </c>
      <c r="T150" s="3">
        <v>9.06</v>
      </c>
      <c r="U150" s="1">
        <f t="shared" si="13"/>
        <v>-12.72</v>
      </c>
      <c r="V150" s="1">
        <f t="shared" si="14"/>
        <v>11.75</v>
      </c>
      <c r="W150" s="1">
        <f t="shared" si="15"/>
        <v>10.56</v>
      </c>
      <c r="X150" s="3" t="s">
        <v>11</v>
      </c>
      <c r="Y150" s="1" t="s">
        <v>12</v>
      </c>
      <c r="Z150" s="1" t="s">
        <v>888</v>
      </c>
    </row>
    <row r="151" spans="1:27" s="7" customFormat="1" hidden="1">
      <c r="A151" s="1" t="s">
        <v>10</v>
      </c>
      <c r="B151" s="2">
        <v>-25.354199999999999</v>
      </c>
      <c r="C151" s="2">
        <v>-48.281799999999997</v>
      </c>
      <c r="D151" s="1" t="s">
        <v>354</v>
      </c>
      <c r="E151" s="1" t="s">
        <v>355</v>
      </c>
      <c r="F151" s="1"/>
      <c r="G151" s="1" t="s">
        <v>26</v>
      </c>
      <c r="H151" s="1"/>
      <c r="I151" s="1" t="s">
        <v>20</v>
      </c>
      <c r="J151" s="2" t="s">
        <v>20</v>
      </c>
      <c r="K151" s="1" t="s">
        <v>356</v>
      </c>
      <c r="L151" s="3">
        <v>38.700000000000003</v>
      </c>
      <c r="M151" s="3">
        <v>13.1</v>
      </c>
      <c r="N151" s="3">
        <v>0.2</v>
      </c>
      <c r="O151" s="3">
        <v>3.4</v>
      </c>
      <c r="P151" s="6">
        <v>516</v>
      </c>
      <c r="Q151" s="6">
        <f t="shared" si="12"/>
        <v>149.71428571428572</v>
      </c>
      <c r="R151" s="3">
        <v>-11.6</v>
      </c>
      <c r="S151" s="3">
        <v>15</v>
      </c>
      <c r="T151" s="3">
        <v>9.8000000000000007</v>
      </c>
      <c r="U151" s="1">
        <f t="shared" si="13"/>
        <v>-12.6</v>
      </c>
      <c r="V151" s="1">
        <f t="shared" si="14"/>
        <v>11.6</v>
      </c>
      <c r="W151" s="1">
        <f t="shared" si="15"/>
        <v>11.3</v>
      </c>
      <c r="X151" s="3" t="s">
        <v>11</v>
      </c>
      <c r="Y151" s="1" t="s">
        <v>12</v>
      </c>
      <c r="Z151" s="1" t="s">
        <v>888</v>
      </c>
      <c r="AA151" s="1"/>
    </row>
    <row r="152" spans="1:27" hidden="1">
      <c r="A152" s="1" t="s">
        <v>10</v>
      </c>
      <c r="B152" s="2">
        <v>-25.354199999999999</v>
      </c>
      <c r="C152" s="2">
        <v>-48.281799999999997</v>
      </c>
      <c r="D152" s="1" t="s">
        <v>357</v>
      </c>
      <c r="E152" s="1" t="s">
        <v>358</v>
      </c>
      <c r="G152" s="1" t="s">
        <v>26</v>
      </c>
      <c r="I152" s="1" t="s">
        <v>20</v>
      </c>
      <c r="J152" s="2" t="s">
        <v>20</v>
      </c>
      <c r="K152" s="1" t="s">
        <v>27</v>
      </c>
      <c r="L152" s="3">
        <v>40.9</v>
      </c>
      <c r="M152" s="3">
        <v>13.4</v>
      </c>
      <c r="N152" s="3">
        <v>0.2</v>
      </c>
      <c r="O152" s="3">
        <v>3.6</v>
      </c>
      <c r="P152" s="6">
        <v>545.33333333333326</v>
      </c>
      <c r="Q152" s="6">
        <f t="shared" si="12"/>
        <v>153.14285714285714</v>
      </c>
      <c r="R152" s="3">
        <v>-11.9</v>
      </c>
      <c r="S152" s="3">
        <v>15</v>
      </c>
      <c r="T152" s="3">
        <v>10.5</v>
      </c>
      <c r="U152" s="1">
        <f t="shared" si="13"/>
        <v>-12.9</v>
      </c>
      <c r="V152" s="1">
        <f t="shared" si="14"/>
        <v>11.6</v>
      </c>
      <c r="W152" s="1">
        <f t="shared" si="15"/>
        <v>12</v>
      </c>
      <c r="X152" s="3" t="s">
        <v>11</v>
      </c>
      <c r="Y152" s="1" t="s">
        <v>12</v>
      </c>
      <c r="Z152" s="1" t="s">
        <v>888</v>
      </c>
    </row>
    <row r="153" spans="1:27" hidden="1">
      <c r="A153" s="1" t="s">
        <v>10</v>
      </c>
      <c r="B153" s="2">
        <v>-25.354199999999999</v>
      </c>
      <c r="C153" s="2">
        <v>-48.281799999999997</v>
      </c>
      <c r="D153" s="1" t="s">
        <v>359</v>
      </c>
      <c r="E153" s="1" t="s">
        <v>360</v>
      </c>
      <c r="G153" s="1" t="s">
        <v>26</v>
      </c>
      <c r="I153" s="1" t="s">
        <v>20</v>
      </c>
      <c r="J153" s="2" t="s">
        <v>20</v>
      </c>
      <c r="K153" s="1" t="s">
        <v>361</v>
      </c>
      <c r="L153" s="3">
        <v>41.5</v>
      </c>
      <c r="M153" s="3">
        <v>14.4</v>
      </c>
      <c r="N153" s="3">
        <v>0.23</v>
      </c>
      <c r="O153" s="3">
        <v>3.4</v>
      </c>
      <c r="P153" s="6">
        <v>481.15942028985506</v>
      </c>
      <c r="Q153" s="6">
        <f t="shared" si="12"/>
        <v>143.10559006211182</v>
      </c>
      <c r="R153" s="3">
        <v>-12.6</v>
      </c>
      <c r="S153" s="3">
        <v>14.6</v>
      </c>
      <c r="T153" s="3">
        <v>10.3</v>
      </c>
      <c r="U153" s="1">
        <f t="shared" si="13"/>
        <v>-13.6</v>
      </c>
      <c r="V153" s="1">
        <f t="shared" si="14"/>
        <v>11.2</v>
      </c>
      <c r="W153" s="1">
        <f t="shared" si="15"/>
        <v>11.8</v>
      </c>
      <c r="X153" s="3" t="s">
        <v>11</v>
      </c>
      <c r="Y153" s="1" t="s">
        <v>12</v>
      </c>
      <c r="Z153" s="1" t="s">
        <v>888</v>
      </c>
    </row>
    <row r="154" spans="1:27" hidden="1">
      <c r="A154" s="1" t="s">
        <v>10</v>
      </c>
      <c r="B154" s="2">
        <v>-25.354199999999999</v>
      </c>
      <c r="C154" s="2">
        <v>-48.281799999999997</v>
      </c>
      <c r="D154" s="1" t="s">
        <v>362</v>
      </c>
      <c r="E154" s="1" t="s">
        <v>363</v>
      </c>
      <c r="G154" s="1" t="s">
        <v>26</v>
      </c>
      <c r="I154" s="1" t="s">
        <v>20</v>
      </c>
      <c r="J154" s="2" t="s">
        <v>20</v>
      </c>
      <c r="K154" s="1" t="s">
        <v>27</v>
      </c>
      <c r="L154" s="3">
        <v>40.200000000000003</v>
      </c>
      <c r="M154" s="3">
        <v>13.2</v>
      </c>
      <c r="N154" s="3">
        <v>0.23</v>
      </c>
      <c r="O154" s="3">
        <v>3.5</v>
      </c>
      <c r="P154" s="6">
        <v>466.08695652173918</v>
      </c>
      <c r="Q154" s="6">
        <f t="shared" si="12"/>
        <v>131.18012422360246</v>
      </c>
      <c r="R154" s="3">
        <v>-11.7</v>
      </c>
      <c r="S154" s="3">
        <v>15.2</v>
      </c>
      <c r="T154" s="3">
        <v>8.1</v>
      </c>
      <c r="U154" s="1">
        <f t="shared" si="13"/>
        <v>-12.7</v>
      </c>
      <c r="V154" s="1">
        <f t="shared" si="14"/>
        <v>11.799999999999999</v>
      </c>
      <c r="W154" s="1">
        <f t="shared" si="15"/>
        <v>9.6</v>
      </c>
      <c r="X154" s="3" t="s">
        <v>11</v>
      </c>
      <c r="Y154" s="1" t="s">
        <v>12</v>
      </c>
      <c r="Z154" s="1" t="s">
        <v>888</v>
      </c>
    </row>
    <row r="155" spans="1:27" hidden="1">
      <c r="A155" s="1" t="s">
        <v>10</v>
      </c>
      <c r="B155" s="2">
        <v>-25.354199999999999</v>
      </c>
      <c r="C155" s="2">
        <v>-48.281799999999997</v>
      </c>
      <c r="D155" s="1" t="s">
        <v>364</v>
      </c>
      <c r="E155" s="1" t="s">
        <v>365</v>
      </c>
      <c r="G155" s="1" t="s">
        <v>26</v>
      </c>
      <c r="I155" s="1" t="s">
        <v>20</v>
      </c>
      <c r="J155" s="2" t="s">
        <v>20</v>
      </c>
      <c r="K155" s="1" t="s">
        <v>366</v>
      </c>
      <c r="L155" s="3">
        <v>27.5</v>
      </c>
      <c r="M155" s="3">
        <v>9.8000000000000007</v>
      </c>
      <c r="N155" s="3">
        <v>0.2</v>
      </c>
      <c r="O155" s="3">
        <v>3.3</v>
      </c>
      <c r="P155" s="6">
        <v>366.66666666666669</v>
      </c>
      <c r="Q155" s="6">
        <f t="shared" si="12"/>
        <v>112</v>
      </c>
      <c r="R155" s="3">
        <v>-8.9</v>
      </c>
      <c r="S155" s="3">
        <v>14.8</v>
      </c>
      <c r="T155" s="3">
        <v>11.4</v>
      </c>
      <c r="U155" s="1">
        <f t="shared" si="13"/>
        <v>-9.9</v>
      </c>
      <c r="V155" s="1">
        <f t="shared" si="14"/>
        <v>11.4</v>
      </c>
      <c r="W155" s="1">
        <f t="shared" si="15"/>
        <v>12.9</v>
      </c>
      <c r="X155" s="3" t="s">
        <v>11</v>
      </c>
      <c r="Y155" s="1" t="s">
        <v>12</v>
      </c>
      <c r="Z155" s="1" t="s">
        <v>888</v>
      </c>
    </row>
    <row r="156" spans="1:27" hidden="1">
      <c r="A156" s="1" t="s">
        <v>10</v>
      </c>
      <c r="B156" s="2">
        <v>-25.354199999999999</v>
      </c>
      <c r="C156" s="2">
        <v>-48.281799999999997</v>
      </c>
      <c r="D156" s="1" t="s">
        <v>367</v>
      </c>
      <c r="E156" s="1" t="s">
        <v>368</v>
      </c>
      <c r="G156" s="1" t="s">
        <v>26</v>
      </c>
      <c r="I156" s="1" t="s">
        <v>20</v>
      </c>
      <c r="J156" s="2" t="s">
        <v>20</v>
      </c>
      <c r="K156" s="1" t="s">
        <v>31</v>
      </c>
      <c r="L156" s="3">
        <v>18.8</v>
      </c>
      <c r="M156" s="3">
        <v>6.8</v>
      </c>
      <c r="N156" s="3">
        <v>0.2</v>
      </c>
      <c r="O156" s="3">
        <v>3.2</v>
      </c>
      <c r="P156" s="6">
        <v>250.66666666666666</v>
      </c>
      <c r="Q156" s="6">
        <f t="shared" si="12"/>
        <v>77.714285714285708</v>
      </c>
      <c r="R156" s="3">
        <v>-11.9</v>
      </c>
      <c r="S156" s="3">
        <v>14.8</v>
      </c>
      <c r="T156" s="3">
        <v>12.5</v>
      </c>
      <c r="U156" s="1">
        <f t="shared" si="13"/>
        <v>-12.9</v>
      </c>
      <c r="V156" s="1">
        <f t="shared" si="14"/>
        <v>11.4</v>
      </c>
      <c r="W156" s="1">
        <f t="shared" si="15"/>
        <v>14</v>
      </c>
      <c r="X156" s="3" t="s">
        <v>11</v>
      </c>
      <c r="Y156" s="1" t="s">
        <v>12</v>
      </c>
      <c r="Z156" s="1" t="s">
        <v>888</v>
      </c>
    </row>
    <row r="157" spans="1:27" hidden="1">
      <c r="A157" s="1" t="s">
        <v>10</v>
      </c>
      <c r="B157" s="2">
        <v>-25.354199999999999</v>
      </c>
      <c r="C157" s="2">
        <v>-48.281799999999997</v>
      </c>
      <c r="D157" s="1" t="s">
        <v>369</v>
      </c>
      <c r="E157" s="1" t="s">
        <v>370</v>
      </c>
      <c r="G157" s="1" t="s">
        <v>26</v>
      </c>
      <c r="I157" s="1" t="s">
        <v>20</v>
      </c>
      <c r="J157" s="2" t="s">
        <v>20</v>
      </c>
      <c r="K157" s="1" t="s">
        <v>371</v>
      </c>
      <c r="L157" s="3">
        <v>41.3</v>
      </c>
      <c r="M157" s="3">
        <v>13.7</v>
      </c>
      <c r="N157" s="3">
        <v>0.23</v>
      </c>
      <c r="O157" s="3">
        <v>3.5</v>
      </c>
      <c r="P157" s="6">
        <v>478.84057971014482</v>
      </c>
      <c r="Q157" s="6">
        <f t="shared" si="12"/>
        <v>136.14906832298135</v>
      </c>
      <c r="R157" s="3">
        <v>-12.4</v>
      </c>
      <c r="S157" s="3">
        <v>14.7</v>
      </c>
      <c r="T157" s="3">
        <v>8.6999999999999993</v>
      </c>
      <c r="U157" s="1">
        <f t="shared" si="13"/>
        <v>-13.4</v>
      </c>
      <c r="V157" s="1">
        <f t="shared" si="14"/>
        <v>11.299999999999999</v>
      </c>
      <c r="W157" s="1">
        <f t="shared" si="15"/>
        <v>10.199999999999999</v>
      </c>
      <c r="X157" s="3" t="s">
        <v>11</v>
      </c>
      <c r="Y157" s="1" t="s">
        <v>12</v>
      </c>
      <c r="Z157" s="1" t="s">
        <v>888</v>
      </c>
    </row>
    <row r="158" spans="1:27" hidden="1">
      <c r="A158" s="1" t="s">
        <v>10</v>
      </c>
      <c r="B158" s="2">
        <v>-25.354199999999999</v>
      </c>
      <c r="C158" s="2">
        <v>-48.281799999999997</v>
      </c>
      <c r="D158" s="1" t="s">
        <v>372</v>
      </c>
      <c r="E158" s="1" t="s">
        <v>373</v>
      </c>
      <c r="G158" s="1" t="s">
        <v>26</v>
      </c>
      <c r="I158" s="1" t="s">
        <v>20</v>
      </c>
      <c r="J158" s="2" t="s">
        <v>20</v>
      </c>
      <c r="K158" s="1" t="s">
        <v>31</v>
      </c>
      <c r="L158" s="3">
        <v>37.799999999999997</v>
      </c>
      <c r="M158" s="3">
        <v>13.8</v>
      </c>
      <c r="N158" s="3">
        <v>0.18</v>
      </c>
      <c r="O158" s="3">
        <v>3.2</v>
      </c>
      <c r="P158" s="6">
        <v>560</v>
      </c>
      <c r="Q158" s="6">
        <f t="shared" si="12"/>
        <v>175.23809523809524</v>
      </c>
      <c r="R158" s="3">
        <v>-12.2</v>
      </c>
      <c r="S158" s="3">
        <v>14.6</v>
      </c>
      <c r="T158" s="3">
        <v>7.5</v>
      </c>
      <c r="U158" s="1">
        <f t="shared" si="13"/>
        <v>-13.2</v>
      </c>
      <c r="V158" s="1">
        <f t="shared" si="14"/>
        <v>11.2</v>
      </c>
      <c r="W158" s="1">
        <f t="shared" si="15"/>
        <v>9</v>
      </c>
      <c r="X158" s="3" t="s">
        <v>11</v>
      </c>
      <c r="Y158" s="1" t="s">
        <v>12</v>
      </c>
      <c r="Z158" s="1" t="s">
        <v>888</v>
      </c>
    </row>
    <row r="159" spans="1:27" hidden="1">
      <c r="A159" s="1" t="s">
        <v>10</v>
      </c>
      <c r="B159" s="2">
        <v>-25.354199999999999</v>
      </c>
      <c r="C159" s="2">
        <v>-48.281799999999997</v>
      </c>
      <c r="D159" s="1" t="s">
        <v>374</v>
      </c>
      <c r="E159" s="1" t="s">
        <v>375</v>
      </c>
      <c r="G159" s="1" t="s">
        <v>26</v>
      </c>
      <c r="I159" s="1" t="s">
        <v>20</v>
      </c>
      <c r="J159" s="2" t="s">
        <v>20</v>
      </c>
      <c r="K159" s="1" t="s">
        <v>376</v>
      </c>
      <c r="L159" s="3">
        <v>41.5</v>
      </c>
      <c r="M159" s="3">
        <v>14.3</v>
      </c>
      <c r="N159" s="3">
        <v>0.23</v>
      </c>
      <c r="O159" s="3">
        <v>3.4</v>
      </c>
      <c r="P159" s="6">
        <v>481.15942028985506</v>
      </c>
      <c r="Q159" s="6">
        <f t="shared" si="12"/>
        <v>142.11180124223603</v>
      </c>
      <c r="R159" s="3">
        <v>-11.7</v>
      </c>
      <c r="S159" s="3">
        <v>15.4</v>
      </c>
      <c r="T159" s="3">
        <v>8.9</v>
      </c>
      <c r="U159" s="1">
        <f t="shared" si="13"/>
        <v>-12.7</v>
      </c>
      <c r="V159" s="1">
        <f t="shared" si="14"/>
        <v>12</v>
      </c>
      <c r="W159" s="1">
        <f t="shared" si="15"/>
        <v>10.4</v>
      </c>
      <c r="X159" s="3" t="s">
        <v>11</v>
      </c>
      <c r="Y159" s="1" t="s">
        <v>12</v>
      </c>
      <c r="Z159" s="1" t="s">
        <v>888</v>
      </c>
    </row>
    <row r="160" spans="1:27" hidden="1">
      <c r="A160" s="1" t="s">
        <v>10</v>
      </c>
      <c r="B160" s="2">
        <v>-25.354199999999999</v>
      </c>
      <c r="C160" s="2">
        <v>-48.281799999999997</v>
      </c>
      <c r="D160" s="1" t="s">
        <v>377</v>
      </c>
      <c r="E160" s="1" t="s">
        <v>378</v>
      </c>
      <c r="G160" s="1" t="s">
        <v>26</v>
      </c>
      <c r="I160" s="1" t="s">
        <v>20</v>
      </c>
      <c r="J160" s="2" t="s">
        <v>20</v>
      </c>
      <c r="K160" s="1" t="s">
        <v>94</v>
      </c>
      <c r="L160" s="3">
        <v>40.200000000000003</v>
      </c>
      <c r="M160" s="3">
        <v>14</v>
      </c>
      <c r="N160" s="3">
        <v>0.17</v>
      </c>
      <c r="O160" s="3">
        <v>3.4</v>
      </c>
      <c r="P160" s="6">
        <v>630.58823529411768</v>
      </c>
      <c r="Q160" s="6">
        <f t="shared" si="12"/>
        <v>188.23529411764704</v>
      </c>
      <c r="R160" s="3">
        <v>-11.4</v>
      </c>
      <c r="S160" s="3">
        <v>15.1</v>
      </c>
      <c r="T160" s="3">
        <v>8.4</v>
      </c>
      <c r="U160" s="1">
        <f t="shared" si="13"/>
        <v>-12.4</v>
      </c>
      <c r="V160" s="1">
        <f t="shared" si="14"/>
        <v>11.7</v>
      </c>
      <c r="W160" s="1">
        <f t="shared" si="15"/>
        <v>9.9</v>
      </c>
      <c r="X160" s="3" t="s">
        <v>11</v>
      </c>
      <c r="Y160" s="1" t="s">
        <v>12</v>
      </c>
      <c r="Z160" s="1" t="s">
        <v>888</v>
      </c>
    </row>
    <row r="161" spans="1:26" hidden="1">
      <c r="A161" s="1" t="s">
        <v>10</v>
      </c>
      <c r="B161" s="2">
        <v>-25.354199999999999</v>
      </c>
      <c r="C161" s="2">
        <v>-48.281799999999997</v>
      </c>
      <c r="D161" s="1" t="s">
        <v>379</v>
      </c>
      <c r="E161" s="1" t="s">
        <v>380</v>
      </c>
      <c r="G161" s="1" t="s">
        <v>26</v>
      </c>
      <c r="I161" s="1" t="s">
        <v>20</v>
      </c>
      <c r="J161" s="2" t="s">
        <v>20</v>
      </c>
      <c r="K161" s="1" t="s">
        <v>94</v>
      </c>
      <c r="L161" s="3">
        <v>42.3</v>
      </c>
      <c r="M161" s="3">
        <v>13.9</v>
      </c>
      <c r="N161" s="3">
        <v>0.16</v>
      </c>
      <c r="O161" s="3">
        <v>3.5</v>
      </c>
      <c r="P161" s="6">
        <v>705</v>
      </c>
      <c r="Q161" s="6">
        <f t="shared" si="12"/>
        <v>198.57142857142858</v>
      </c>
      <c r="R161" s="3">
        <v>-13.1</v>
      </c>
      <c r="S161" s="3">
        <v>16.899999999999999</v>
      </c>
      <c r="T161" s="3">
        <v>7.6</v>
      </c>
      <c r="U161" s="1">
        <f t="shared" si="13"/>
        <v>-14.1</v>
      </c>
      <c r="V161" s="1">
        <f t="shared" si="14"/>
        <v>13.499999999999998</v>
      </c>
      <c r="W161" s="1">
        <f t="shared" si="15"/>
        <v>9.1</v>
      </c>
      <c r="X161" s="3" t="s">
        <v>11</v>
      </c>
      <c r="Y161" s="1" t="s">
        <v>12</v>
      </c>
      <c r="Z161" s="1" t="s">
        <v>888</v>
      </c>
    </row>
    <row r="162" spans="1:26" hidden="1">
      <c r="A162" s="1" t="s">
        <v>10</v>
      </c>
      <c r="B162" s="2">
        <v>-25.354199999999999</v>
      </c>
      <c r="C162" s="2">
        <v>-48.281799999999997</v>
      </c>
      <c r="D162" s="1" t="s">
        <v>381</v>
      </c>
      <c r="E162" s="1" t="s">
        <v>382</v>
      </c>
      <c r="G162" s="1" t="s">
        <v>26</v>
      </c>
      <c r="I162" s="1" t="s">
        <v>20</v>
      </c>
      <c r="J162" s="2" t="s">
        <v>20</v>
      </c>
      <c r="K162" s="1" t="s">
        <v>383</v>
      </c>
      <c r="L162" s="3">
        <v>33.6</v>
      </c>
      <c r="M162" s="3">
        <v>11.5</v>
      </c>
      <c r="N162" s="3">
        <v>0.18</v>
      </c>
      <c r="O162" s="3">
        <v>3.4</v>
      </c>
      <c r="P162" s="6">
        <v>497.77777777777783</v>
      </c>
      <c r="Q162" s="6">
        <f t="shared" si="12"/>
        <v>146.03174603174605</v>
      </c>
      <c r="R162" s="3">
        <v>-13.1</v>
      </c>
      <c r="S162" s="3">
        <v>15.8</v>
      </c>
      <c r="T162" s="3">
        <v>8.3000000000000007</v>
      </c>
      <c r="U162" s="1">
        <f t="shared" si="13"/>
        <v>-14.1</v>
      </c>
      <c r="V162" s="1">
        <f t="shared" si="14"/>
        <v>12.4</v>
      </c>
      <c r="W162" s="1">
        <f t="shared" si="15"/>
        <v>9.8000000000000007</v>
      </c>
      <c r="X162" s="3" t="s">
        <v>11</v>
      </c>
      <c r="Y162" s="1" t="s">
        <v>12</v>
      </c>
      <c r="Z162" s="1" t="s">
        <v>888</v>
      </c>
    </row>
    <row r="163" spans="1:26" hidden="1">
      <c r="A163" s="1" t="s">
        <v>10</v>
      </c>
      <c r="B163" s="2">
        <v>-25.354199999999999</v>
      </c>
      <c r="C163" s="2">
        <v>-48.281799999999997</v>
      </c>
      <c r="D163" s="1" t="s">
        <v>384</v>
      </c>
      <c r="E163" s="1" t="s">
        <v>385</v>
      </c>
      <c r="G163" s="1" t="s">
        <v>26</v>
      </c>
      <c r="I163" s="1" t="s">
        <v>20</v>
      </c>
      <c r="J163" s="2" t="s">
        <v>20</v>
      </c>
      <c r="K163" s="1" t="s">
        <v>31</v>
      </c>
      <c r="L163" s="3">
        <v>35.200000000000003</v>
      </c>
      <c r="M163" s="3">
        <v>11.5</v>
      </c>
      <c r="N163" s="3">
        <v>0.21</v>
      </c>
      <c r="O163" s="3">
        <v>3.6</v>
      </c>
      <c r="P163" s="6">
        <v>446.98412698412704</v>
      </c>
      <c r="Q163" s="6">
        <f t="shared" si="12"/>
        <v>125.17006802721089</v>
      </c>
      <c r="R163" s="3">
        <v>-11.8</v>
      </c>
      <c r="S163" s="3">
        <v>14.7</v>
      </c>
      <c r="T163" s="3">
        <v>7.9</v>
      </c>
      <c r="U163" s="1">
        <f t="shared" si="13"/>
        <v>-12.8</v>
      </c>
      <c r="V163" s="1">
        <f t="shared" si="14"/>
        <v>11.299999999999999</v>
      </c>
      <c r="W163" s="1">
        <f t="shared" si="15"/>
        <v>9.4</v>
      </c>
      <c r="X163" s="3" t="s">
        <v>11</v>
      </c>
      <c r="Y163" s="1" t="s">
        <v>12</v>
      </c>
      <c r="Z163" s="1" t="s">
        <v>888</v>
      </c>
    </row>
    <row r="164" spans="1:26" hidden="1">
      <c r="A164" s="1" t="s">
        <v>10</v>
      </c>
      <c r="B164" s="2">
        <v>-25.354199999999999</v>
      </c>
      <c r="C164" s="2">
        <v>-48.281799999999997</v>
      </c>
      <c r="D164" s="1" t="s">
        <v>386</v>
      </c>
      <c r="E164" s="1" t="s">
        <v>387</v>
      </c>
      <c r="G164" s="1" t="s">
        <v>26</v>
      </c>
      <c r="I164" s="1" t="s">
        <v>20</v>
      </c>
      <c r="J164" s="2" t="s">
        <v>20</v>
      </c>
      <c r="K164" s="1" t="s">
        <v>31</v>
      </c>
      <c r="L164" s="3">
        <v>38.369999999999997</v>
      </c>
      <c r="M164" s="3">
        <v>12.81</v>
      </c>
      <c r="N164" s="3">
        <v>0.17</v>
      </c>
      <c r="O164" s="3">
        <v>3.49</v>
      </c>
      <c r="P164" s="6">
        <v>601.88235294117635</v>
      </c>
      <c r="Q164" s="6">
        <f t="shared" si="12"/>
        <v>172.23529411764704</v>
      </c>
      <c r="R164" s="3">
        <v>-10.85</v>
      </c>
      <c r="S164" s="3">
        <v>14.88</v>
      </c>
      <c r="T164" s="3">
        <v>7.22</v>
      </c>
      <c r="U164" s="1">
        <f t="shared" si="13"/>
        <v>-11.85</v>
      </c>
      <c r="V164" s="1">
        <f t="shared" si="14"/>
        <v>11.48</v>
      </c>
      <c r="W164" s="1">
        <f t="shared" si="15"/>
        <v>8.7199999999999989</v>
      </c>
      <c r="X164" s="3" t="s">
        <v>11</v>
      </c>
      <c r="Y164" s="1" t="s">
        <v>12</v>
      </c>
      <c r="Z164" s="1" t="s">
        <v>888</v>
      </c>
    </row>
    <row r="165" spans="1:26" hidden="1">
      <c r="A165" s="1" t="s">
        <v>10</v>
      </c>
      <c r="B165" s="2">
        <v>-25.354199999999999</v>
      </c>
      <c r="C165" s="2">
        <v>-48.281799999999997</v>
      </c>
      <c r="D165" s="1" t="s">
        <v>388</v>
      </c>
      <c r="E165" s="1" t="s">
        <v>389</v>
      </c>
      <c r="G165" s="1" t="s">
        <v>26</v>
      </c>
      <c r="I165" s="1" t="s">
        <v>20</v>
      </c>
      <c r="J165" s="2" t="s">
        <v>20</v>
      </c>
      <c r="K165" s="1" t="s">
        <v>251</v>
      </c>
      <c r="L165" s="3">
        <v>38.799999999999997</v>
      </c>
      <c r="M165" s="3">
        <v>12.8</v>
      </c>
      <c r="N165" s="3">
        <v>0.21</v>
      </c>
      <c r="O165" s="3">
        <v>3.5</v>
      </c>
      <c r="P165" s="6">
        <v>492.69841269841271</v>
      </c>
      <c r="Q165" s="6">
        <f t="shared" si="12"/>
        <v>139.31972789115648</v>
      </c>
      <c r="R165" s="3">
        <v>-11</v>
      </c>
      <c r="S165" s="3">
        <v>14.8</v>
      </c>
      <c r="T165" s="3">
        <v>8.6999999999999993</v>
      </c>
      <c r="U165" s="1">
        <f t="shared" si="13"/>
        <v>-12</v>
      </c>
      <c r="V165" s="1">
        <f t="shared" si="14"/>
        <v>11.4</v>
      </c>
      <c r="W165" s="1">
        <f t="shared" si="15"/>
        <v>10.199999999999999</v>
      </c>
      <c r="X165" s="3" t="s">
        <v>11</v>
      </c>
      <c r="Y165" s="1" t="s">
        <v>12</v>
      </c>
      <c r="Z165" s="1" t="s">
        <v>888</v>
      </c>
    </row>
    <row r="166" spans="1:26" hidden="1">
      <c r="A166" s="1" t="s">
        <v>10</v>
      </c>
      <c r="B166" s="2">
        <v>-25.354199999999999</v>
      </c>
      <c r="C166" s="2">
        <v>-48.281799999999997</v>
      </c>
      <c r="D166" s="1" t="s">
        <v>390</v>
      </c>
      <c r="E166" s="1" t="s">
        <v>391</v>
      </c>
      <c r="G166" s="1" t="s">
        <v>26</v>
      </c>
      <c r="I166" s="1" t="s">
        <v>20</v>
      </c>
      <c r="J166" s="2" t="s">
        <v>20</v>
      </c>
      <c r="K166" s="1" t="s">
        <v>31</v>
      </c>
      <c r="L166" s="3">
        <v>42.1</v>
      </c>
      <c r="M166" s="3">
        <v>13.9</v>
      </c>
      <c r="N166" s="3">
        <v>0.16</v>
      </c>
      <c r="O166" s="3">
        <v>3.5</v>
      </c>
      <c r="P166" s="6">
        <v>701.66666666666663</v>
      </c>
      <c r="Q166" s="6">
        <f t="shared" si="12"/>
        <v>198.57142857142858</v>
      </c>
      <c r="R166" s="3">
        <v>-11.6</v>
      </c>
      <c r="S166" s="3">
        <v>14.3</v>
      </c>
      <c r="T166" s="3">
        <v>9.1999999999999993</v>
      </c>
      <c r="U166" s="1">
        <f t="shared" si="13"/>
        <v>-12.6</v>
      </c>
      <c r="V166" s="1">
        <f t="shared" si="14"/>
        <v>10.9</v>
      </c>
      <c r="W166" s="1">
        <f t="shared" si="15"/>
        <v>10.7</v>
      </c>
      <c r="X166" s="3" t="s">
        <v>11</v>
      </c>
      <c r="Y166" s="1" t="s">
        <v>12</v>
      </c>
      <c r="Z166" s="1" t="s">
        <v>888</v>
      </c>
    </row>
    <row r="167" spans="1:26" hidden="1">
      <c r="A167" s="1" t="s">
        <v>10</v>
      </c>
      <c r="B167" s="2">
        <v>-25.354199999999999</v>
      </c>
      <c r="C167" s="2">
        <v>-48.281799999999997</v>
      </c>
      <c r="D167" s="1" t="s">
        <v>392</v>
      </c>
      <c r="E167" s="1" t="s">
        <v>393</v>
      </c>
      <c r="G167" s="1" t="s">
        <v>26</v>
      </c>
      <c r="I167" s="1" t="s">
        <v>20</v>
      </c>
      <c r="J167" s="2" t="s">
        <v>20</v>
      </c>
      <c r="K167" s="1" t="s">
        <v>94</v>
      </c>
      <c r="L167" s="3">
        <v>40.700000000000003</v>
      </c>
      <c r="M167" s="3">
        <v>14.3</v>
      </c>
      <c r="N167" s="3">
        <v>0.18</v>
      </c>
      <c r="O167" s="3">
        <v>3.3</v>
      </c>
      <c r="P167" s="6">
        <v>602.96296296296305</v>
      </c>
      <c r="Q167" s="6">
        <f t="shared" si="12"/>
        <v>181.58730158730162</v>
      </c>
      <c r="R167" s="3">
        <v>-13</v>
      </c>
      <c r="S167" s="3">
        <v>14.3</v>
      </c>
      <c r="T167" s="3">
        <v>9</v>
      </c>
      <c r="U167" s="1">
        <f t="shared" si="13"/>
        <v>-14</v>
      </c>
      <c r="V167" s="1">
        <f t="shared" si="14"/>
        <v>10.9</v>
      </c>
      <c r="W167" s="1">
        <f t="shared" si="15"/>
        <v>10.5</v>
      </c>
      <c r="X167" s="3" t="s">
        <v>11</v>
      </c>
      <c r="Y167" s="1" t="s">
        <v>12</v>
      </c>
      <c r="Z167" s="1" t="s">
        <v>888</v>
      </c>
    </row>
    <row r="168" spans="1:26" hidden="1">
      <c r="A168" s="1" t="s">
        <v>10</v>
      </c>
      <c r="B168" s="2">
        <v>-25.354199999999999</v>
      </c>
      <c r="C168" s="2">
        <v>-48.281799999999997</v>
      </c>
      <c r="D168" s="1" t="s">
        <v>394</v>
      </c>
      <c r="E168" s="1" t="s">
        <v>395</v>
      </c>
      <c r="G168" s="1" t="s">
        <v>26</v>
      </c>
      <c r="I168" s="1" t="s">
        <v>20</v>
      </c>
      <c r="J168" s="2" t="s">
        <v>20</v>
      </c>
      <c r="K168" s="1" t="s">
        <v>172</v>
      </c>
      <c r="L168" s="3">
        <v>39.200000000000003</v>
      </c>
      <c r="M168" s="3">
        <v>12.9</v>
      </c>
      <c r="N168" s="3">
        <v>0.16</v>
      </c>
      <c r="O168" s="3">
        <v>3.5</v>
      </c>
      <c r="P168" s="6">
        <v>653.33333333333337</v>
      </c>
      <c r="Q168" s="6">
        <f t="shared" si="12"/>
        <v>184.28571428571428</v>
      </c>
      <c r="R168" s="3">
        <v>-11.4</v>
      </c>
      <c r="S168" s="3">
        <v>14.9</v>
      </c>
      <c r="T168" s="3">
        <v>9.3000000000000007</v>
      </c>
      <c r="U168" s="1">
        <f t="shared" si="13"/>
        <v>-12.4</v>
      </c>
      <c r="V168" s="1">
        <f t="shared" si="14"/>
        <v>11.5</v>
      </c>
      <c r="W168" s="1">
        <f t="shared" si="15"/>
        <v>10.8</v>
      </c>
      <c r="X168" s="3" t="s">
        <v>11</v>
      </c>
      <c r="Y168" s="1" t="s">
        <v>12</v>
      </c>
      <c r="Z168" s="1" t="s">
        <v>888</v>
      </c>
    </row>
    <row r="169" spans="1:26" hidden="1">
      <c r="A169" s="1" t="s">
        <v>10</v>
      </c>
      <c r="B169" s="2">
        <v>-25.354199999999999</v>
      </c>
      <c r="C169" s="2">
        <v>-48.281799999999997</v>
      </c>
      <c r="D169" s="1" t="s">
        <v>396</v>
      </c>
      <c r="E169" s="1" t="s">
        <v>397</v>
      </c>
      <c r="G169" s="1" t="s">
        <v>26</v>
      </c>
      <c r="I169" s="1" t="s">
        <v>20</v>
      </c>
      <c r="J169" s="2" t="s">
        <v>20</v>
      </c>
      <c r="K169" s="1" t="s">
        <v>94</v>
      </c>
      <c r="L169" s="3">
        <v>38.299999999999997</v>
      </c>
      <c r="M169" s="3">
        <v>12.6</v>
      </c>
      <c r="N169" s="3">
        <v>0.18</v>
      </c>
      <c r="O169" s="3">
        <v>3.6</v>
      </c>
      <c r="P169" s="6">
        <v>567.40740740740739</v>
      </c>
      <c r="Q169" s="6">
        <f t="shared" si="12"/>
        <v>160</v>
      </c>
      <c r="R169" s="3">
        <v>-10.9</v>
      </c>
      <c r="S169" s="3">
        <v>14.7</v>
      </c>
      <c r="T169" s="3">
        <v>8.3000000000000007</v>
      </c>
      <c r="U169" s="1">
        <f t="shared" si="13"/>
        <v>-11.9</v>
      </c>
      <c r="V169" s="1">
        <f t="shared" si="14"/>
        <v>11.299999999999999</v>
      </c>
      <c r="W169" s="1">
        <f t="shared" si="15"/>
        <v>9.8000000000000007</v>
      </c>
      <c r="X169" s="3" t="s">
        <v>11</v>
      </c>
      <c r="Y169" s="1" t="s">
        <v>12</v>
      </c>
      <c r="Z169" s="1" t="s">
        <v>888</v>
      </c>
    </row>
    <row r="170" spans="1:26" hidden="1">
      <c r="A170" s="1" t="s">
        <v>10</v>
      </c>
      <c r="B170" s="2">
        <v>-25.354199999999999</v>
      </c>
      <c r="C170" s="2">
        <v>-48.281799999999997</v>
      </c>
      <c r="D170" s="1" t="s">
        <v>398</v>
      </c>
      <c r="E170" s="1" t="s">
        <v>399</v>
      </c>
      <c r="G170" s="1" t="s">
        <v>26</v>
      </c>
      <c r="I170" s="1" t="s">
        <v>20</v>
      </c>
      <c r="J170" s="2" t="s">
        <v>20</v>
      </c>
      <c r="K170" s="1" t="s">
        <v>31</v>
      </c>
      <c r="L170" s="3">
        <v>36.590000000000003</v>
      </c>
      <c r="M170" s="3">
        <v>12.36</v>
      </c>
      <c r="N170" s="3">
        <v>0.16</v>
      </c>
      <c r="O170" s="3">
        <v>3.45</v>
      </c>
      <c r="P170" s="6">
        <v>609.83333333333337</v>
      </c>
      <c r="Q170" s="6">
        <f t="shared" si="12"/>
        <v>176.57142857142858</v>
      </c>
      <c r="R170" s="3">
        <v>-11.42</v>
      </c>
      <c r="S170" s="3">
        <v>14.4</v>
      </c>
      <c r="T170" s="3">
        <v>8.4700000000000006</v>
      </c>
      <c r="U170" s="1">
        <f t="shared" si="13"/>
        <v>-12.42</v>
      </c>
      <c r="V170" s="1">
        <f t="shared" si="14"/>
        <v>11</v>
      </c>
      <c r="W170" s="1">
        <f t="shared" si="15"/>
        <v>9.9700000000000006</v>
      </c>
      <c r="X170" s="3" t="s">
        <v>11</v>
      </c>
      <c r="Y170" s="1" t="s">
        <v>12</v>
      </c>
      <c r="Z170" s="1" t="s">
        <v>888</v>
      </c>
    </row>
    <row r="171" spans="1:26" hidden="1">
      <c r="A171" s="1" t="s">
        <v>10</v>
      </c>
      <c r="B171" s="2">
        <v>-25.354199999999999</v>
      </c>
      <c r="C171" s="2">
        <v>-48.281799999999997</v>
      </c>
      <c r="D171" s="1" t="s">
        <v>400</v>
      </c>
      <c r="E171" s="1" t="s">
        <v>401</v>
      </c>
      <c r="G171" s="1" t="s">
        <v>26</v>
      </c>
      <c r="I171" s="1" t="s">
        <v>20</v>
      </c>
      <c r="J171" s="2" t="s">
        <v>20</v>
      </c>
      <c r="K171" s="1" t="s">
        <v>371</v>
      </c>
      <c r="L171" s="3">
        <v>42.4</v>
      </c>
      <c r="M171" s="3">
        <v>14.5</v>
      </c>
      <c r="N171" s="3">
        <v>0.15</v>
      </c>
      <c r="O171" s="3">
        <v>3.4</v>
      </c>
      <c r="P171" s="6">
        <v>753.77777777777783</v>
      </c>
      <c r="Q171" s="6">
        <f t="shared" si="12"/>
        <v>220.95238095238096</v>
      </c>
      <c r="R171" s="3">
        <v>-11.7</v>
      </c>
      <c r="S171" s="3">
        <v>14.7</v>
      </c>
      <c r="T171" s="3">
        <v>8.1</v>
      </c>
      <c r="U171" s="1">
        <f t="shared" ref="U171:U202" si="16">R171-1</f>
        <v>-12.7</v>
      </c>
      <c r="V171" s="1">
        <f t="shared" si="14"/>
        <v>11.299999999999999</v>
      </c>
      <c r="W171" s="1">
        <f t="shared" si="15"/>
        <v>9.6</v>
      </c>
      <c r="X171" s="3" t="s">
        <v>11</v>
      </c>
      <c r="Y171" s="1" t="s">
        <v>12</v>
      </c>
      <c r="Z171" s="1" t="s">
        <v>888</v>
      </c>
    </row>
    <row r="172" spans="1:26" hidden="1">
      <c r="A172" s="1" t="s">
        <v>10</v>
      </c>
      <c r="B172" s="2">
        <v>-25.354199999999999</v>
      </c>
      <c r="C172" s="2">
        <v>-48.281799999999997</v>
      </c>
      <c r="D172" s="1" t="s">
        <v>402</v>
      </c>
      <c r="E172" s="1" t="s">
        <v>403</v>
      </c>
      <c r="G172" s="1" t="s">
        <v>26</v>
      </c>
      <c r="I172" s="1" t="s">
        <v>20</v>
      </c>
      <c r="J172" s="2" t="s">
        <v>20</v>
      </c>
      <c r="K172" s="1" t="s">
        <v>172</v>
      </c>
      <c r="L172" s="3">
        <v>41.6</v>
      </c>
      <c r="M172" s="3">
        <v>13.8</v>
      </c>
      <c r="N172" s="3">
        <v>0.17</v>
      </c>
      <c r="O172" s="3">
        <v>3.5</v>
      </c>
      <c r="P172" s="6">
        <v>652.54901960784309</v>
      </c>
      <c r="Q172" s="6">
        <f t="shared" si="12"/>
        <v>185.54621848739495</v>
      </c>
      <c r="R172" s="3">
        <v>-11.1</v>
      </c>
      <c r="S172" s="3">
        <v>14.5</v>
      </c>
      <c r="T172" s="3">
        <v>10.199999999999999</v>
      </c>
      <c r="U172" s="1">
        <f t="shared" si="16"/>
        <v>-12.1</v>
      </c>
      <c r="V172" s="1">
        <f t="shared" si="14"/>
        <v>11.1</v>
      </c>
      <c r="W172" s="1">
        <f t="shared" si="15"/>
        <v>11.7</v>
      </c>
      <c r="X172" s="3" t="s">
        <v>11</v>
      </c>
      <c r="Y172" s="1" t="s">
        <v>12</v>
      </c>
      <c r="Z172" s="1" t="s">
        <v>888</v>
      </c>
    </row>
    <row r="173" spans="1:26" hidden="1">
      <c r="A173" s="1" t="s">
        <v>10</v>
      </c>
      <c r="B173" s="2">
        <v>-25.354199999999999</v>
      </c>
      <c r="C173" s="2">
        <v>-48.281799999999997</v>
      </c>
      <c r="D173" s="1" t="s">
        <v>404</v>
      </c>
      <c r="E173" s="1" t="s">
        <v>405</v>
      </c>
      <c r="G173" s="1" t="s">
        <v>26</v>
      </c>
      <c r="I173" s="1" t="s">
        <v>20</v>
      </c>
      <c r="J173" s="2" t="s">
        <v>20</v>
      </c>
      <c r="K173" s="1" t="s">
        <v>31</v>
      </c>
      <c r="L173" s="3">
        <v>41.7</v>
      </c>
      <c r="M173" s="3">
        <v>13.7</v>
      </c>
      <c r="N173" s="3">
        <v>0.18</v>
      </c>
      <c r="O173" s="3">
        <v>3.5</v>
      </c>
      <c r="P173" s="6">
        <v>617.77777777777783</v>
      </c>
      <c r="Q173" s="6">
        <f t="shared" si="12"/>
        <v>173.96825396825398</v>
      </c>
      <c r="R173" s="3">
        <v>-12.2</v>
      </c>
      <c r="S173" s="3">
        <v>13.9</v>
      </c>
      <c r="T173" s="3">
        <v>9.6999999999999993</v>
      </c>
      <c r="U173" s="1">
        <f t="shared" si="16"/>
        <v>-13.2</v>
      </c>
      <c r="V173" s="1">
        <f t="shared" si="14"/>
        <v>10.5</v>
      </c>
      <c r="W173" s="1">
        <f t="shared" si="15"/>
        <v>11.2</v>
      </c>
      <c r="X173" s="3" t="s">
        <v>11</v>
      </c>
      <c r="Y173" s="1" t="s">
        <v>12</v>
      </c>
      <c r="Z173" s="1" t="s">
        <v>888</v>
      </c>
    </row>
    <row r="174" spans="1:26" hidden="1">
      <c r="A174" s="1" t="s">
        <v>10</v>
      </c>
      <c r="B174" s="2">
        <v>-25.354199999999999</v>
      </c>
      <c r="C174" s="2">
        <v>-48.281799999999997</v>
      </c>
      <c r="D174" s="1" t="s">
        <v>406</v>
      </c>
      <c r="E174" s="1" t="s">
        <v>407</v>
      </c>
      <c r="G174" s="1" t="s">
        <v>26</v>
      </c>
      <c r="I174" s="1" t="s">
        <v>20</v>
      </c>
      <c r="J174" s="2" t="s">
        <v>20</v>
      </c>
      <c r="K174" s="1" t="s">
        <v>94</v>
      </c>
      <c r="L174" s="3">
        <v>39.6</v>
      </c>
      <c r="M174" s="3">
        <v>13.3</v>
      </c>
      <c r="N174" s="3">
        <v>0.16</v>
      </c>
      <c r="O174" s="3">
        <v>3.5</v>
      </c>
      <c r="P174" s="6">
        <v>660</v>
      </c>
      <c r="Q174" s="6">
        <f t="shared" si="12"/>
        <v>190</v>
      </c>
      <c r="R174" s="3">
        <v>-12.5</v>
      </c>
      <c r="S174" s="3">
        <v>13.7</v>
      </c>
      <c r="T174" s="3">
        <v>9.1999999999999993</v>
      </c>
      <c r="U174" s="1">
        <f t="shared" si="16"/>
        <v>-13.5</v>
      </c>
      <c r="V174" s="1">
        <f t="shared" si="14"/>
        <v>10.299999999999999</v>
      </c>
      <c r="W174" s="1">
        <f t="shared" si="15"/>
        <v>10.7</v>
      </c>
      <c r="X174" s="3" t="s">
        <v>11</v>
      </c>
      <c r="Y174" s="1" t="s">
        <v>12</v>
      </c>
      <c r="Z174" s="1" t="s">
        <v>888</v>
      </c>
    </row>
    <row r="175" spans="1:26" hidden="1">
      <c r="A175" s="1" t="s">
        <v>10</v>
      </c>
      <c r="B175" s="2">
        <v>-25.354199999999999</v>
      </c>
      <c r="C175" s="2">
        <v>-48.281799999999997</v>
      </c>
      <c r="D175" s="1" t="s">
        <v>408</v>
      </c>
      <c r="E175" s="1" t="s">
        <v>409</v>
      </c>
      <c r="G175" s="1" t="s">
        <v>26</v>
      </c>
      <c r="I175" s="1" t="s">
        <v>20</v>
      </c>
      <c r="J175" s="2" t="s">
        <v>20</v>
      </c>
      <c r="K175" s="1" t="s">
        <v>94</v>
      </c>
      <c r="L175" s="3">
        <v>41.37</v>
      </c>
      <c r="M175" s="3">
        <v>13.51</v>
      </c>
      <c r="N175" s="3">
        <v>0.22</v>
      </c>
      <c r="O175" s="3">
        <v>3.6</v>
      </c>
      <c r="P175" s="6">
        <v>501.45454545454544</v>
      </c>
      <c r="Q175" s="6">
        <f t="shared" si="12"/>
        <v>140.36363636363635</v>
      </c>
      <c r="R175" s="3">
        <v>-12.18</v>
      </c>
      <c r="S175" s="3">
        <v>14.54</v>
      </c>
      <c r="T175" s="3">
        <v>8.57</v>
      </c>
      <c r="U175" s="1">
        <f t="shared" si="16"/>
        <v>-13.18</v>
      </c>
      <c r="V175" s="1">
        <f t="shared" si="14"/>
        <v>11.139999999999999</v>
      </c>
      <c r="W175" s="1">
        <f t="shared" si="15"/>
        <v>10.07</v>
      </c>
      <c r="X175" s="3" t="s">
        <v>11</v>
      </c>
      <c r="Y175" s="1" t="s">
        <v>12</v>
      </c>
      <c r="Z175" s="1" t="s">
        <v>888</v>
      </c>
    </row>
    <row r="176" spans="1:26" hidden="1">
      <c r="A176" s="1" t="s">
        <v>10</v>
      </c>
      <c r="B176" s="2">
        <v>-25.354199999999999</v>
      </c>
      <c r="C176" s="2">
        <v>-48.281799999999997</v>
      </c>
      <c r="D176" s="1" t="s">
        <v>410</v>
      </c>
      <c r="E176" s="1" t="s">
        <v>411</v>
      </c>
      <c r="G176" s="1" t="s">
        <v>26</v>
      </c>
      <c r="I176" s="1" t="s">
        <v>20</v>
      </c>
      <c r="J176" s="2" t="s">
        <v>20</v>
      </c>
      <c r="K176" s="1" t="s">
        <v>412</v>
      </c>
      <c r="L176" s="3">
        <v>41.8</v>
      </c>
      <c r="M176" s="3">
        <v>14.3</v>
      </c>
      <c r="N176" s="3">
        <v>0.16</v>
      </c>
      <c r="O176" s="3">
        <v>3.4</v>
      </c>
      <c r="P176" s="6">
        <v>696.66666666666663</v>
      </c>
      <c r="Q176" s="6">
        <f t="shared" si="12"/>
        <v>204.28571428571428</v>
      </c>
      <c r="R176" s="3">
        <v>-11.1</v>
      </c>
      <c r="S176" s="3">
        <v>14.4</v>
      </c>
      <c r="T176" s="3">
        <v>8.3000000000000007</v>
      </c>
      <c r="U176" s="1">
        <f t="shared" si="16"/>
        <v>-12.1</v>
      </c>
      <c r="V176" s="1">
        <f t="shared" si="14"/>
        <v>11</v>
      </c>
      <c r="W176" s="1">
        <f t="shared" si="15"/>
        <v>9.8000000000000007</v>
      </c>
      <c r="X176" s="3" t="s">
        <v>11</v>
      </c>
      <c r="Y176" s="1" t="s">
        <v>12</v>
      </c>
      <c r="Z176" s="1" t="s">
        <v>888</v>
      </c>
    </row>
    <row r="177" spans="1:27" hidden="1">
      <c r="A177" s="1" t="s">
        <v>10</v>
      </c>
      <c r="B177" s="2">
        <v>-25.354199999999999</v>
      </c>
      <c r="C177" s="2">
        <v>-48.281799999999997</v>
      </c>
      <c r="D177" s="1" t="s">
        <v>413</v>
      </c>
      <c r="E177" s="1" t="s">
        <v>414</v>
      </c>
      <c r="G177" s="1" t="s">
        <v>26</v>
      </c>
      <c r="I177" s="1" t="s">
        <v>20</v>
      </c>
      <c r="J177" s="2" t="s">
        <v>20</v>
      </c>
      <c r="K177" s="1" t="s">
        <v>94</v>
      </c>
      <c r="L177" s="3">
        <v>35.5</v>
      </c>
      <c r="M177" s="3">
        <v>11.7</v>
      </c>
      <c r="N177" s="3">
        <v>0.16</v>
      </c>
      <c r="O177" s="3">
        <v>3.5</v>
      </c>
      <c r="P177" s="6">
        <v>591.66666666666663</v>
      </c>
      <c r="Q177" s="6">
        <f t="shared" si="12"/>
        <v>167.14285714285714</v>
      </c>
      <c r="R177" s="3">
        <v>-11.3</v>
      </c>
      <c r="S177" s="3">
        <v>14.3</v>
      </c>
      <c r="T177" s="3">
        <v>9.9</v>
      </c>
      <c r="U177" s="1">
        <f t="shared" si="16"/>
        <v>-12.3</v>
      </c>
      <c r="V177" s="1">
        <f t="shared" si="14"/>
        <v>10.9</v>
      </c>
      <c r="W177" s="1">
        <f t="shared" si="15"/>
        <v>11.4</v>
      </c>
      <c r="X177" s="3" t="s">
        <v>11</v>
      </c>
      <c r="Y177" s="1" t="s">
        <v>12</v>
      </c>
      <c r="Z177" s="1" t="s">
        <v>888</v>
      </c>
    </row>
    <row r="178" spans="1:27" hidden="1">
      <c r="A178" s="1" t="s">
        <v>10</v>
      </c>
      <c r="B178" s="2">
        <v>-25.354199999999999</v>
      </c>
      <c r="C178" s="2">
        <v>-48.281799999999997</v>
      </c>
      <c r="D178" s="1" t="s">
        <v>415</v>
      </c>
      <c r="E178" s="1" t="s">
        <v>416</v>
      </c>
      <c r="G178" s="1" t="s">
        <v>26</v>
      </c>
      <c r="I178" s="1" t="s">
        <v>20</v>
      </c>
      <c r="J178" s="2" t="s">
        <v>20</v>
      </c>
      <c r="K178" s="1" t="s">
        <v>94</v>
      </c>
      <c r="L178" s="3">
        <v>41.8</v>
      </c>
      <c r="M178" s="3">
        <v>14.2</v>
      </c>
      <c r="N178" s="3">
        <v>0.17</v>
      </c>
      <c r="O178" s="3">
        <v>3.4</v>
      </c>
      <c r="P178" s="6">
        <v>655.68627450980387</v>
      </c>
      <c r="Q178" s="6">
        <f t="shared" si="12"/>
        <v>190.92436974789914</v>
      </c>
      <c r="R178" s="3">
        <v>-11.9</v>
      </c>
      <c r="S178" s="3">
        <v>14.2</v>
      </c>
      <c r="T178" s="3">
        <v>8.6</v>
      </c>
      <c r="U178" s="1">
        <f t="shared" si="16"/>
        <v>-12.9</v>
      </c>
      <c r="V178" s="1">
        <f t="shared" si="14"/>
        <v>10.799999999999999</v>
      </c>
      <c r="W178" s="1">
        <f t="shared" si="15"/>
        <v>10.1</v>
      </c>
      <c r="X178" s="3" t="s">
        <v>11</v>
      </c>
      <c r="Y178" s="1" t="s">
        <v>12</v>
      </c>
      <c r="Z178" s="1" t="s">
        <v>888</v>
      </c>
    </row>
    <row r="179" spans="1:27" hidden="1">
      <c r="A179" s="1" t="s">
        <v>10</v>
      </c>
      <c r="B179" s="2">
        <v>-25.354199999999999</v>
      </c>
      <c r="C179" s="2">
        <v>-48.281799999999997</v>
      </c>
      <c r="D179" s="1" t="s">
        <v>417</v>
      </c>
      <c r="E179" s="1" t="s">
        <v>418</v>
      </c>
      <c r="G179" s="1" t="s">
        <v>26</v>
      </c>
      <c r="I179" s="1" t="s">
        <v>20</v>
      </c>
      <c r="J179" s="2" t="s">
        <v>20</v>
      </c>
      <c r="K179" s="1" t="s">
        <v>31</v>
      </c>
      <c r="L179" s="3">
        <v>44</v>
      </c>
      <c r="M179" s="3">
        <v>14.5</v>
      </c>
      <c r="N179" s="3">
        <v>0.17</v>
      </c>
      <c r="O179" s="3">
        <v>3.5</v>
      </c>
      <c r="P179" s="6">
        <v>690.19607843137248</v>
      </c>
      <c r="Q179" s="6">
        <f t="shared" si="12"/>
        <v>194.95798319327727</v>
      </c>
      <c r="R179" s="3">
        <v>-11.6</v>
      </c>
      <c r="S179" s="3">
        <v>14.7</v>
      </c>
      <c r="T179" s="3">
        <v>8.9</v>
      </c>
      <c r="U179" s="1">
        <f t="shared" si="16"/>
        <v>-12.6</v>
      </c>
      <c r="V179" s="1">
        <f t="shared" si="14"/>
        <v>11.299999999999999</v>
      </c>
      <c r="W179" s="1">
        <f t="shared" si="15"/>
        <v>10.4</v>
      </c>
      <c r="X179" s="3" t="s">
        <v>11</v>
      </c>
      <c r="Y179" s="1" t="s">
        <v>12</v>
      </c>
      <c r="Z179" s="1" t="s">
        <v>888</v>
      </c>
    </row>
    <row r="180" spans="1:27" hidden="1">
      <c r="A180" s="1" t="s">
        <v>10</v>
      </c>
      <c r="B180" s="2">
        <v>-25.354199999999999</v>
      </c>
      <c r="C180" s="2">
        <v>-48.281799999999997</v>
      </c>
      <c r="D180" s="1" t="s">
        <v>419</v>
      </c>
      <c r="E180" s="1" t="s">
        <v>420</v>
      </c>
      <c r="G180" s="1" t="s">
        <v>26</v>
      </c>
      <c r="I180" s="1" t="s">
        <v>20</v>
      </c>
      <c r="J180" s="2" t="s">
        <v>20</v>
      </c>
      <c r="K180" s="1" t="s">
        <v>172</v>
      </c>
      <c r="L180" s="3">
        <v>43.6</v>
      </c>
      <c r="M180" s="3">
        <v>14.1</v>
      </c>
      <c r="N180" s="3">
        <v>0.2</v>
      </c>
      <c r="O180" s="3">
        <v>3.6</v>
      </c>
      <c r="P180" s="6">
        <v>581.33333333333337</v>
      </c>
      <c r="Q180" s="6">
        <f t="shared" si="12"/>
        <v>161.14285714285714</v>
      </c>
      <c r="R180" s="3">
        <v>-11.4</v>
      </c>
      <c r="S180" s="3">
        <v>13.3</v>
      </c>
      <c r="T180" s="3">
        <v>9</v>
      </c>
      <c r="U180" s="1">
        <f t="shared" si="16"/>
        <v>-12.4</v>
      </c>
      <c r="V180" s="1">
        <f t="shared" si="14"/>
        <v>9.9</v>
      </c>
      <c r="W180" s="1">
        <f t="shared" si="15"/>
        <v>10.5</v>
      </c>
      <c r="X180" s="3" t="s">
        <v>11</v>
      </c>
      <c r="Y180" s="1" t="s">
        <v>12</v>
      </c>
      <c r="Z180" s="1" t="s">
        <v>888</v>
      </c>
    </row>
    <row r="181" spans="1:27" hidden="1">
      <c r="A181" s="1" t="s">
        <v>10</v>
      </c>
      <c r="B181" s="2">
        <v>-25.354199999999999</v>
      </c>
      <c r="C181" s="2">
        <v>-48.281799999999997</v>
      </c>
      <c r="D181" s="1" t="s">
        <v>421</v>
      </c>
      <c r="E181" s="1" t="s">
        <v>422</v>
      </c>
      <c r="G181" s="1" t="s">
        <v>26</v>
      </c>
      <c r="I181" s="1" t="s">
        <v>20</v>
      </c>
      <c r="J181" s="2" t="s">
        <v>20</v>
      </c>
      <c r="K181" s="1" t="s">
        <v>31</v>
      </c>
      <c r="L181" s="3">
        <v>43.7</v>
      </c>
      <c r="M181" s="3">
        <v>14</v>
      </c>
      <c r="N181" s="3">
        <v>0.18</v>
      </c>
      <c r="O181" s="3">
        <v>3.6</v>
      </c>
      <c r="P181" s="6">
        <v>647.4074074074075</v>
      </c>
      <c r="Q181" s="6">
        <f t="shared" si="12"/>
        <v>177.7777777777778</v>
      </c>
      <c r="R181" s="3">
        <v>-12.9</v>
      </c>
      <c r="S181" s="3">
        <v>14</v>
      </c>
      <c r="T181" s="3">
        <v>9.9</v>
      </c>
      <c r="U181" s="1">
        <f t="shared" si="16"/>
        <v>-13.9</v>
      </c>
      <c r="V181" s="1">
        <f t="shared" si="14"/>
        <v>10.6</v>
      </c>
      <c r="W181" s="1">
        <f t="shared" si="15"/>
        <v>11.4</v>
      </c>
      <c r="X181" s="3" t="s">
        <v>11</v>
      </c>
      <c r="Y181" s="1" t="s">
        <v>12</v>
      </c>
      <c r="Z181" s="1" t="s">
        <v>888</v>
      </c>
    </row>
    <row r="182" spans="1:27" hidden="1">
      <c r="A182" s="1" t="s">
        <v>10</v>
      </c>
      <c r="B182" s="2">
        <v>-25.354199999999999</v>
      </c>
      <c r="C182" s="2">
        <v>-48.281799999999997</v>
      </c>
      <c r="D182" s="1" t="s">
        <v>423</v>
      </c>
      <c r="E182" s="1" t="s">
        <v>424</v>
      </c>
      <c r="G182" s="1" t="s">
        <v>26</v>
      </c>
      <c r="I182" s="1" t="s">
        <v>20</v>
      </c>
      <c r="J182" s="2" t="s">
        <v>20</v>
      </c>
      <c r="K182" s="1" t="s">
        <v>31</v>
      </c>
      <c r="L182" s="3">
        <v>44.3</v>
      </c>
      <c r="M182" s="3">
        <v>14.3</v>
      </c>
      <c r="N182" s="3">
        <v>0.19</v>
      </c>
      <c r="O182" s="3">
        <v>3.6</v>
      </c>
      <c r="P182" s="6">
        <v>621.75438596491222</v>
      </c>
      <c r="Q182" s="6">
        <f t="shared" si="12"/>
        <v>172.03007518796994</v>
      </c>
      <c r="R182" s="3">
        <v>-11.3</v>
      </c>
      <c r="S182" s="3">
        <v>14.5</v>
      </c>
      <c r="T182" s="3">
        <v>9.4</v>
      </c>
      <c r="U182" s="1">
        <f t="shared" si="16"/>
        <v>-12.3</v>
      </c>
      <c r="V182" s="1">
        <f t="shared" si="14"/>
        <v>11.1</v>
      </c>
      <c r="W182" s="1">
        <f t="shared" si="15"/>
        <v>10.9</v>
      </c>
      <c r="X182" s="3" t="s">
        <v>11</v>
      </c>
      <c r="Y182" s="1" t="s">
        <v>12</v>
      </c>
      <c r="Z182" s="1" t="s">
        <v>888</v>
      </c>
    </row>
    <row r="183" spans="1:27" hidden="1">
      <c r="A183" s="1" t="s">
        <v>10</v>
      </c>
      <c r="B183" s="2">
        <v>-25.354199999999999</v>
      </c>
      <c r="C183" s="2">
        <v>-48.281799999999997</v>
      </c>
      <c r="D183" s="1" t="s">
        <v>425</v>
      </c>
      <c r="E183" s="1" t="s">
        <v>426</v>
      </c>
      <c r="G183" s="1" t="s">
        <v>26</v>
      </c>
      <c r="I183" s="1" t="s">
        <v>20</v>
      </c>
      <c r="J183" s="2" t="s">
        <v>20</v>
      </c>
      <c r="K183" s="1" t="s">
        <v>427</v>
      </c>
      <c r="L183" s="3">
        <v>42.6</v>
      </c>
      <c r="M183" s="3">
        <v>14.3</v>
      </c>
      <c r="N183" s="3">
        <v>0.17</v>
      </c>
      <c r="O183" s="3">
        <v>3.5</v>
      </c>
      <c r="P183" s="6">
        <v>668.23529411764696</v>
      </c>
      <c r="Q183" s="6">
        <f t="shared" si="12"/>
        <v>192.26890756302518</v>
      </c>
      <c r="R183" s="3">
        <v>-10.199999999999999</v>
      </c>
      <c r="S183" s="3">
        <v>14.4</v>
      </c>
      <c r="T183" s="3">
        <v>9.5</v>
      </c>
      <c r="U183" s="1">
        <f t="shared" si="16"/>
        <v>-11.2</v>
      </c>
      <c r="V183" s="1">
        <f t="shared" si="14"/>
        <v>11</v>
      </c>
      <c r="W183" s="1">
        <f t="shared" si="15"/>
        <v>11</v>
      </c>
      <c r="X183" s="3" t="s">
        <v>11</v>
      </c>
      <c r="Y183" s="1" t="s">
        <v>12</v>
      </c>
      <c r="Z183" s="1" t="s">
        <v>888</v>
      </c>
    </row>
    <row r="184" spans="1:27" hidden="1">
      <c r="A184" s="1" t="s">
        <v>19</v>
      </c>
      <c r="B184" s="2">
        <v>-26.291538355969099</v>
      </c>
      <c r="C184" s="2">
        <v>-48.778949717459703</v>
      </c>
      <c r="D184" s="1" t="s">
        <v>428</v>
      </c>
      <c r="E184" s="1" t="s">
        <v>429</v>
      </c>
      <c r="G184" s="1" t="s">
        <v>26</v>
      </c>
      <c r="I184" s="1" t="s">
        <v>20</v>
      </c>
      <c r="J184" s="1" t="s">
        <v>42</v>
      </c>
      <c r="K184" s="2" t="s">
        <v>20</v>
      </c>
      <c r="L184" s="3">
        <v>41.2</v>
      </c>
      <c r="M184" s="3">
        <v>14.6</v>
      </c>
      <c r="N184" s="3">
        <v>0.24</v>
      </c>
      <c r="O184" s="3">
        <v>3.3</v>
      </c>
      <c r="P184" s="6">
        <v>457.77777777777783</v>
      </c>
      <c r="Q184" s="6">
        <f t="shared" si="12"/>
        <v>139.04761904761907</v>
      </c>
      <c r="R184" s="3">
        <v>-13.5</v>
      </c>
      <c r="S184" s="3">
        <v>14.1</v>
      </c>
      <c r="T184" s="3">
        <v>9.1</v>
      </c>
      <c r="U184" s="1">
        <f t="shared" si="16"/>
        <v>-14.5</v>
      </c>
      <c r="V184" s="1">
        <f t="shared" si="14"/>
        <v>10.7</v>
      </c>
      <c r="W184" s="1">
        <f t="shared" si="15"/>
        <v>10.6</v>
      </c>
      <c r="X184" s="3" t="s">
        <v>11</v>
      </c>
      <c r="Y184" s="1" t="s">
        <v>12</v>
      </c>
      <c r="Z184" s="1" t="s">
        <v>888</v>
      </c>
    </row>
    <row r="185" spans="1:27" hidden="1">
      <c r="A185" s="1" t="s">
        <v>19</v>
      </c>
      <c r="B185" s="2">
        <v>-26.291538355969099</v>
      </c>
      <c r="C185" s="2">
        <v>-48.778949717459703</v>
      </c>
      <c r="D185" s="1" t="s">
        <v>430</v>
      </c>
      <c r="E185" s="1" t="s">
        <v>431</v>
      </c>
      <c r="G185" s="1" t="s">
        <v>26</v>
      </c>
      <c r="I185" s="1" t="s">
        <v>20</v>
      </c>
      <c r="J185" s="1" t="s">
        <v>42</v>
      </c>
      <c r="K185" s="2" t="s">
        <v>20</v>
      </c>
      <c r="L185" s="3">
        <v>42.8</v>
      </c>
      <c r="M185" s="3">
        <v>14.95</v>
      </c>
      <c r="N185" s="3">
        <v>0.23</v>
      </c>
      <c r="O185" s="3">
        <v>3.4</v>
      </c>
      <c r="P185" s="6">
        <v>496.23188405797094</v>
      </c>
      <c r="Q185" s="6">
        <f t="shared" si="12"/>
        <v>148.57142857142858</v>
      </c>
      <c r="R185" s="3">
        <v>-12.6</v>
      </c>
      <c r="S185" s="3">
        <v>12.6</v>
      </c>
      <c r="T185" s="3">
        <v>9.8656825000000001</v>
      </c>
      <c r="U185" s="1">
        <f t="shared" si="16"/>
        <v>-13.6</v>
      </c>
      <c r="V185" s="1">
        <f t="shared" si="14"/>
        <v>9.1999999999999993</v>
      </c>
      <c r="W185" s="1">
        <f t="shared" si="15"/>
        <v>11.3656825</v>
      </c>
      <c r="X185" s="3" t="s">
        <v>11</v>
      </c>
      <c r="Y185" s="1" t="s">
        <v>12</v>
      </c>
      <c r="Z185" s="1" t="s">
        <v>888</v>
      </c>
    </row>
    <row r="186" spans="1:27" hidden="1">
      <c r="A186" s="1" t="s">
        <v>19</v>
      </c>
      <c r="B186" s="2">
        <v>-26.291538355969099</v>
      </c>
      <c r="C186" s="2">
        <v>-48.778949717459703</v>
      </c>
      <c r="D186" s="1" t="s">
        <v>432</v>
      </c>
      <c r="E186" s="1" t="s">
        <v>433</v>
      </c>
      <c r="G186" s="1" t="s">
        <v>26</v>
      </c>
      <c r="I186" s="1" t="s">
        <v>20</v>
      </c>
      <c r="J186" s="2" t="s">
        <v>20</v>
      </c>
      <c r="K186" s="2" t="s">
        <v>20</v>
      </c>
      <c r="L186" s="3">
        <v>42</v>
      </c>
      <c r="M186" s="3">
        <v>14.2</v>
      </c>
      <c r="N186" s="3">
        <v>0.21</v>
      </c>
      <c r="O186" s="3">
        <v>3.4</v>
      </c>
      <c r="P186" s="6">
        <v>533.33333333333337</v>
      </c>
      <c r="Q186" s="6">
        <f t="shared" si="12"/>
        <v>154.55782312925172</v>
      </c>
      <c r="R186" s="3">
        <v>-12.2</v>
      </c>
      <c r="S186" s="3">
        <v>13</v>
      </c>
      <c r="T186" s="3">
        <v>9.9</v>
      </c>
      <c r="U186" s="1">
        <f t="shared" si="16"/>
        <v>-13.2</v>
      </c>
      <c r="V186" s="1">
        <f t="shared" si="14"/>
        <v>9.6</v>
      </c>
      <c r="W186" s="1">
        <f t="shared" si="15"/>
        <v>11.4</v>
      </c>
      <c r="X186" s="3" t="s">
        <v>11</v>
      </c>
      <c r="Y186" s="1" t="s">
        <v>12</v>
      </c>
      <c r="Z186" s="1" t="s">
        <v>888</v>
      </c>
    </row>
    <row r="187" spans="1:27" hidden="1">
      <c r="A187" s="1" t="s">
        <v>19</v>
      </c>
      <c r="B187" s="2">
        <v>-26.291538355969099</v>
      </c>
      <c r="C187" s="2">
        <v>-48.778949717459703</v>
      </c>
      <c r="D187" s="1" t="s">
        <v>434</v>
      </c>
      <c r="E187" s="1" t="s">
        <v>435</v>
      </c>
      <c r="G187" s="1" t="s">
        <v>26</v>
      </c>
      <c r="I187" s="1" t="s">
        <v>20</v>
      </c>
      <c r="J187" s="1" t="s">
        <v>33</v>
      </c>
      <c r="K187" s="2" t="s">
        <v>20</v>
      </c>
      <c r="L187" s="3">
        <v>41.3</v>
      </c>
      <c r="M187" s="3">
        <v>14.3</v>
      </c>
      <c r="N187" s="3">
        <v>0.25</v>
      </c>
      <c r="O187" s="3">
        <v>3.4</v>
      </c>
      <c r="P187" s="6">
        <v>440.5333333333333</v>
      </c>
      <c r="Q187" s="6">
        <f t="shared" si="12"/>
        <v>130.74285714285716</v>
      </c>
      <c r="R187" s="3">
        <v>-12.1</v>
      </c>
      <c r="S187" s="3">
        <v>14.4</v>
      </c>
      <c r="T187" s="3">
        <v>9</v>
      </c>
      <c r="U187" s="1">
        <f t="shared" si="16"/>
        <v>-13.1</v>
      </c>
      <c r="V187" s="1">
        <f t="shared" si="14"/>
        <v>11</v>
      </c>
      <c r="W187" s="1">
        <f t="shared" si="15"/>
        <v>10.5</v>
      </c>
      <c r="X187" s="3" t="s">
        <v>11</v>
      </c>
      <c r="Y187" s="1" t="s">
        <v>12</v>
      </c>
      <c r="Z187" s="1" t="s">
        <v>888</v>
      </c>
    </row>
    <row r="188" spans="1:27" hidden="1">
      <c r="A188" s="1" t="s">
        <v>19</v>
      </c>
      <c r="B188" s="2">
        <v>-26.291538355969099</v>
      </c>
      <c r="C188" s="2">
        <v>-48.778949717459703</v>
      </c>
      <c r="D188" s="1" t="s">
        <v>436</v>
      </c>
      <c r="E188" s="1" t="s">
        <v>437</v>
      </c>
      <c r="G188" s="1" t="s">
        <v>26</v>
      </c>
      <c r="I188" s="1" t="s">
        <v>20</v>
      </c>
      <c r="J188" s="1" t="s">
        <v>33</v>
      </c>
      <c r="K188" s="2" t="s">
        <v>20</v>
      </c>
      <c r="L188" s="3">
        <v>40.799999999999997</v>
      </c>
      <c r="M188" s="3">
        <v>13.9</v>
      </c>
      <c r="N188" s="3">
        <v>0.2</v>
      </c>
      <c r="O188" s="3">
        <v>3.4</v>
      </c>
      <c r="P188" s="6">
        <v>543.99999999999989</v>
      </c>
      <c r="Q188" s="6">
        <f t="shared" si="12"/>
        <v>158.85714285714286</v>
      </c>
      <c r="R188" s="3">
        <v>-11.3</v>
      </c>
      <c r="S188" s="3">
        <v>14.3</v>
      </c>
      <c r="T188" s="3">
        <v>9.3000000000000007</v>
      </c>
      <c r="U188" s="1">
        <f t="shared" si="16"/>
        <v>-12.3</v>
      </c>
      <c r="V188" s="1">
        <f t="shared" si="14"/>
        <v>10.9</v>
      </c>
      <c r="W188" s="1">
        <f t="shared" si="15"/>
        <v>10.8</v>
      </c>
      <c r="X188" s="3" t="s">
        <v>11</v>
      </c>
      <c r="Y188" s="1" t="s">
        <v>12</v>
      </c>
      <c r="Z188" s="1" t="s">
        <v>888</v>
      </c>
    </row>
    <row r="189" spans="1:27" hidden="1">
      <c r="A189" s="1" t="s">
        <v>19</v>
      </c>
      <c r="B189" s="2">
        <v>-26.291538355969099</v>
      </c>
      <c r="C189" s="2">
        <v>-48.778949717459703</v>
      </c>
      <c r="D189" s="1" t="s">
        <v>438</v>
      </c>
      <c r="E189" s="1" t="s">
        <v>439</v>
      </c>
      <c r="G189" s="1" t="s">
        <v>26</v>
      </c>
      <c r="I189" s="1" t="s">
        <v>20</v>
      </c>
      <c r="J189" s="1" t="s">
        <v>42</v>
      </c>
      <c r="K189" s="2" t="s">
        <v>20</v>
      </c>
      <c r="L189" s="3">
        <v>41.7</v>
      </c>
      <c r="M189" s="3">
        <v>14.7</v>
      </c>
      <c r="N189" s="3">
        <v>0.19</v>
      </c>
      <c r="O189" s="3">
        <v>3.3</v>
      </c>
      <c r="P189" s="6">
        <v>585.26315789473688</v>
      </c>
      <c r="Q189" s="6">
        <f t="shared" si="12"/>
        <v>176.84210526315789</v>
      </c>
      <c r="R189" s="3">
        <v>-13.4</v>
      </c>
      <c r="S189" s="3">
        <v>12.7</v>
      </c>
      <c r="T189" s="3">
        <v>10.3</v>
      </c>
      <c r="U189" s="1">
        <f t="shared" si="16"/>
        <v>-14.4</v>
      </c>
      <c r="V189" s="1">
        <f t="shared" si="14"/>
        <v>9.2999999999999989</v>
      </c>
      <c r="W189" s="1">
        <f t="shared" si="15"/>
        <v>11.8</v>
      </c>
      <c r="X189" s="3" t="s">
        <v>11</v>
      </c>
      <c r="Y189" s="1" t="s">
        <v>12</v>
      </c>
      <c r="Z189" s="1" t="s">
        <v>888</v>
      </c>
    </row>
    <row r="190" spans="1:27" hidden="1">
      <c r="A190" s="1" t="s">
        <v>19</v>
      </c>
      <c r="B190" s="2">
        <v>-26.291538355969099</v>
      </c>
      <c r="C190" s="2">
        <v>-48.778949717459703</v>
      </c>
      <c r="D190" s="1" t="s">
        <v>440</v>
      </c>
      <c r="E190" s="1" t="s">
        <v>441</v>
      </c>
      <c r="G190" s="1" t="s">
        <v>26</v>
      </c>
      <c r="I190" s="1" t="s">
        <v>20</v>
      </c>
      <c r="J190" s="2" t="s">
        <v>20</v>
      </c>
      <c r="K190" s="2" t="s">
        <v>20</v>
      </c>
      <c r="L190" s="3">
        <v>40.200000000000003</v>
      </c>
      <c r="M190" s="3">
        <v>14.1</v>
      </c>
      <c r="N190" s="3">
        <v>0.22</v>
      </c>
      <c r="O190" s="3">
        <v>3.3</v>
      </c>
      <c r="P190" s="6">
        <v>487.27272727272731</v>
      </c>
      <c r="Q190" s="6">
        <f t="shared" si="12"/>
        <v>146.49350649350649</v>
      </c>
      <c r="R190" s="3">
        <v>-11.6</v>
      </c>
      <c r="S190" s="3">
        <v>14.2</v>
      </c>
      <c r="T190" s="3">
        <v>8.1999999999999993</v>
      </c>
      <c r="U190" s="1">
        <f t="shared" si="16"/>
        <v>-12.6</v>
      </c>
      <c r="V190" s="1">
        <f t="shared" si="14"/>
        <v>10.799999999999999</v>
      </c>
      <c r="W190" s="1">
        <f t="shared" si="15"/>
        <v>9.6999999999999993</v>
      </c>
      <c r="X190" s="3" t="s">
        <v>11</v>
      </c>
      <c r="Y190" s="1" t="s">
        <v>12</v>
      </c>
      <c r="Z190" s="1" t="s">
        <v>888</v>
      </c>
    </row>
    <row r="191" spans="1:27" s="7" customFormat="1" hidden="1">
      <c r="A191" s="1" t="s">
        <v>19</v>
      </c>
      <c r="B191" s="2">
        <v>-26.291538355969099</v>
      </c>
      <c r="C191" s="2">
        <v>-48.778949717459703</v>
      </c>
      <c r="D191" s="1" t="s">
        <v>442</v>
      </c>
      <c r="E191" s="1" t="s">
        <v>443</v>
      </c>
      <c r="F191" s="1"/>
      <c r="G191" s="1" t="s">
        <v>26</v>
      </c>
      <c r="H191" s="1"/>
      <c r="I191" s="1" t="s">
        <v>20</v>
      </c>
      <c r="J191" s="1" t="s">
        <v>33</v>
      </c>
      <c r="K191" s="2" t="s">
        <v>20</v>
      </c>
      <c r="L191" s="3">
        <v>32.799999999999997</v>
      </c>
      <c r="M191" s="3">
        <v>11.8</v>
      </c>
      <c r="N191" s="3">
        <v>0.2</v>
      </c>
      <c r="O191" s="3">
        <v>3.2</v>
      </c>
      <c r="P191" s="6">
        <v>437.33333333333326</v>
      </c>
      <c r="Q191" s="6">
        <f t="shared" si="12"/>
        <v>134.85714285714286</v>
      </c>
      <c r="R191" s="3">
        <v>-13.7</v>
      </c>
      <c r="S191" s="3">
        <v>15.7</v>
      </c>
      <c r="T191" s="3">
        <v>10.4</v>
      </c>
      <c r="U191" s="1">
        <f t="shared" si="16"/>
        <v>-14.7</v>
      </c>
      <c r="V191" s="1">
        <f t="shared" si="14"/>
        <v>12.299999999999999</v>
      </c>
      <c r="W191" s="1">
        <f t="shared" si="15"/>
        <v>11.9</v>
      </c>
      <c r="X191" s="3" t="s">
        <v>11</v>
      </c>
      <c r="Y191" s="1" t="s">
        <v>12</v>
      </c>
      <c r="Z191" s="1" t="s">
        <v>888</v>
      </c>
      <c r="AA191" s="1"/>
    </row>
    <row r="192" spans="1:27" s="7" customFormat="1" hidden="1">
      <c r="A192" s="1" t="s">
        <v>19</v>
      </c>
      <c r="B192" s="2">
        <v>-26.291538355969099</v>
      </c>
      <c r="C192" s="2">
        <v>-48.778949717459703</v>
      </c>
      <c r="D192" s="1" t="s">
        <v>444</v>
      </c>
      <c r="E192" s="1" t="s">
        <v>445</v>
      </c>
      <c r="F192" s="1"/>
      <c r="G192" s="1" t="s">
        <v>26</v>
      </c>
      <c r="H192" s="1"/>
      <c r="I192" s="1" t="s">
        <v>200</v>
      </c>
      <c r="J192" s="2" t="s">
        <v>20</v>
      </c>
      <c r="K192" s="2" t="s">
        <v>20</v>
      </c>
      <c r="L192" s="3">
        <v>41.1</v>
      </c>
      <c r="M192" s="3">
        <v>14.5</v>
      </c>
      <c r="N192" s="3">
        <v>0.18</v>
      </c>
      <c r="O192" s="3">
        <v>3.3</v>
      </c>
      <c r="P192" s="6">
        <v>608.88888888888891</v>
      </c>
      <c r="Q192" s="6">
        <f t="shared" si="12"/>
        <v>184.12698412698413</v>
      </c>
      <c r="R192" s="3">
        <v>-12</v>
      </c>
      <c r="S192" s="3">
        <v>15.5</v>
      </c>
      <c r="T192" s="3">
        <v>8.1999999999999993</v>
      </c>
      <c r="U192" s="1">
        <f t="shared" si="16"/>
        <v>-13</v>
      </c>
      <c r="V192" s="1">
        <f t="shared" si="14"/>
        <v>12.1</v>
      </c>
      <c r="W192" s="1">
        <f t="shared" si="15"/>
        <v>9.6999999999999993</v>
      </c>
      <c r="X192" s="3" t="s">
        <v>11</v>
      </c>
      <c r="Y192" s="1" t="s">
        <v>12</v>
      </c>
      <c r="Z192" s="1" t="s">
        <v>888</v>
      </c>
      <c r="AA192" s="1"/>
    </row>
    <row r="193" spans="1:27" s="7" customFormat="1" hidden="1">
      <c r="A193" s="1" t="s">
        <v>19</v>
      </c>
      <c r="B193" s="2">
        <v>-26.291538355969099</v>
      </c>
      <c r="C193" s="2">
        <v>-48.778949717459703</v>
      </c>
      <c r="D193" s="1" t="s">
        <v>446</v>
      </c>
      <c r="E193" s="1" t="s">
        <v>447</v>
      </c>
      <c r="F193" s="1"/>
      <c r="G193" s="1" t="s">
        <v>26</v>
      </c>
      <c r="H193" s="1"/>
      <c r="I193" s="1" t="s">
        <v>200</v>
      </c>
      <c r="J193" s="2" t="s">
        <v>20</v>
      </c>
      <c r="K193" s="2" t="s">
        <v>20</v>
      </c>
      <c r="L193" s="3">
        <v>42.1</v>
      </c>
      <c r="M193" s="3">
        <v>14.4</v>
      </c>
      <c r="N193" s="3">
        <v>0.18</v>
      </c>
      <c r="O193" s="3">
        <v>3.4</v>
      </c>
      <c r="P193" s="6">
        <v>623.70370370370381</v>
      </c>
      <c r="Q193" s="6">
        <f t="shared" si="12"/>
        <v>182.85714285714286</v>
      </c>
      <c r="R193" s="3">
        <v>-11.5</v>
      </c>
      <c r="S193" s="3">
        <v>14.9</v>
      </c>
      <c r="T193" s="3">
        <v>8.6999999999999993</v>
      </c>
      <c r="U193" s="1">
        <f t="shared" si="16"/>
        <v>-12.5</v>
      </c>
      <c r="V193" s="1">
        <f t="shared" si="14"/>
        <v>11.5</v>
      </c>
      <c r="W193" s="1">
        <f t="shared" si="15"/>
        <v>10.199999999999999</v>
      </c>
      <c r="X193" s="3" t="s">
        <v>11</v>
      </c>
      <c r="Y193" s="1" t="s">
        <v>12</v>
      </c>
      <c r="Z193" s="1" t="s">
        <v>888</v>
      </c>
      <c r="AA193" s="1"/>
    </row>
    <row r="194" spans="1:27" s="7" customFormat="1" hidden="1">
      <c r="A194" s="1" t="s">
        <v>19</v>
      </c>
      <c r="B194" s="2">
        <v>-26.291538355969099</v>
      </c>
      <c r="C194" s="2">
        <v>-48.778949717459703</v>
      </c>
      <c r="D194" s="1" t="s">
        <v>448</v>
      </c>
      <c r="E194" s="1" t="s">
        <v>449</v>
      </c>
      <c r="F194" s="1"/>
      <c r="G194" s="1" t="s">
        <v>26</v>
      </c>
      <c r="H194" s="1"/>
      <c r="I194" s="1" t="s">
        <v>200</v>
      </c>
      <c r="J194" s="2" t="s">
        <v>20</v>
      </c>
      <c r="K194" s="2" t="s">
        <v>20</v>
      </c>
      <c r="L194" s="3">
        <v>40.799999999999997</v>
      </c>
      <c r="M194" s="3">
        <v>14.3</v>
      </c>
      <c r="N194" s="3">
        <v>0.17</v>
      </c>
      <c r="O194" s="3">
        <v>3.3</v>
      </c>
      <c r="P194" s="6">
        <v>639.99999999999989</v>
      </c>
      <c r="Q194" s="6">
        <f t="shared" si="12"/>
        <v>192.26890756302518</v>
      </c>
      <c r="R194" s="3">
        <v>-11.3</v>
      </c>
      <c r="S194" s="3">
        <v>15.5</v>
      </c>
      <c r="T194" s="3">
        <v>9</v>
      </c>
      <c r="U194" s="1">
        <f t="shared" si="16"/>
        <v>-12.3</v>
      </c>
      <c r="V194" s="1">
        <f t="shared" si="14"/>
        <v>12.1</v>
      </c>
      <c r="W194" s="1">
        <f t="shared" si="15"/>
        <v>10.5</v>
      </c>
      <c r="X194" s="3" t="s">
        <v>11</v>
      </c>
      <c r="Y194" s="1" t="s">
        <v>12</v>
      </c>
      <c r="Z194" s="1" t="s">
        <v>888</v>
      </c>
      <c r="AA194" s="1"/>
    </row>
    <row r="195" spans="1:27" s="7" customFormat="1" hidden="1">
      <c r="A195" s="7" t="s">
        <v>4</v>
      </c>
      <c r="B195" s="2">
        <v>-26.4029605539111</v>
      </c>
      <c r="C195" s="2">
        <v>-48.861588379248701</v>
      </c>
      <c r="D195" s="1" t="s">
        <v>450</v>
      </c>
      <c r="E195" s="1" t="s">
        <v>137</v>
      </c>
      <c r="F195" s="1"/>
      <c r="G195" s="1" t="s">
        <v>215</v>
      </c>
      <c r="H195" s="1" t="s">
        <v>451</v>
      </c>
      <c r="I195" s="1" t="s">
        <v>200</v>
      </c>
      <c r="J195" s="2" t="s">
        <v>20</v>
      </c>
      <c r="K195" s="2" t="s">
        <v>20</v>
      </c>
      <c r="L195" s="3">
        <v>39.299999999999997</v>
      </c>
      <c r="M195" s="3">
        <v>13.4</v>
      </c>
      <c r="N195" s="3">
        <v>0.24</v>
      </c>
      <c r="O195" s="3">
        <v>3.4</v>
      </c>
      <c r="P195" s="6">
        <v>436.66666666666669</v>
      </c>
      <c r="Q195" s="6">
        <f t="shared" si="12"/>
        <v>127.61904761904762</v>
      </c>
      <c r="R195" s="3">
        <v>-21.2</v>
      </c>
      <c r="S195" s="3">
        <v>17.399999999999999</v>
      </c>
      <c r="T195" s="3">
        <v>9.1999999999999993</v>
      </c>
      <c r="U195" s="1">
        <f t="shared" si="16"/>
        <v>-22.2</v>
      </c>
      <c r="V195" s="1">
        <f t="shared" si="14"/>
        <v>13.999999999999998</v>
      </c>
      <c r="W195" s="1">
        <f t="shared" si="15"/>
        <v>10.7</v>
      </c>
      <c r="X195" s="3" t="s">
        <v>11</v>
      </c>
      <c r="Y195" s="1" t="s">
        <v>12</v>
      </c>
      <c r="Z195" s="1" t="s">
        <v>888</v>
      </c>
      <c r="AA195" s="1"/>
    </row>
    <row r="196" spans="1:27" s="7" customFormat="1" hidden="1">
      <c r="A196" s="7" t="s">
        <v>4</v>
      </c>
      <c r="B196" s="2">
        <v>-26.4029605539111</v>
      </c>
      <c r="C196" s="2">
        <v>-48.861588379248701</v>
      </c>
      <c r="D196" s="1" t="s">
        <v>452</v>
      </c>
      <c r="E196" s="1" t="s">
        <v>285</v>
      </c>
      <c r="F196" s="1"/>
      <c r="G196" s="1" t="s">
        <v>215</v>
      </c>
      <c r="H196" s="1" t="s">
        <v>453</v>
      </c>
      <c r="I196" s="1" t="s">
        <v>20</v>
      </c>
      <c r="J196" s="2" t="s">
        <v>20</v>
      </c>
      <c r="K196" s="2" t="s">
        <v>20</v>
      </c>
      <c r="L196" s="3">
        <v>40.4</v>
      </c>
      <c r="M196" s="3">
        <v>14.6</v>
      </c>
      <c r="N196" s="3">
        <v>0.22</v>
      </c>
      <c r="O196" s="3">
        <v>3.2</v>
      </c>
      <c r="P196" s="6">
        <v>489.69696969696969</v>
      </c>
      <c r="Q196" s="6">
        <f t="shared" si="12"/>
        <v>151.68831168831167</v>
      </c>
      <c r="R196" s="3">
        <v>-21.2</v>
      </c>
      <c r="S196" s="3">
        <v>11.3</v>
      </c>
      <c r="T196" s="3">
        <v>11.4</v>
      </c>
      <c r="U196" s="1">
        <f t="shared" si="16"/>
        <v>-22.2</v>
      </c>
      <c r="V196" s="1">
        <f t="shared" si="14"/>
        <v>7.9</v>
      </c>
      <c r="W196" s="1">
        <f t="shared" si="15"/>
        <v>12.9</v>
      </c>
      <c r="X196" s="3" t="s">
        <v>11</v>
      </c>
      <c r="Y196" s="1" t="s">
        <v>12</v>
      </c>
      <c r="Z196" s="1" t="s">
        <v>888</v>
      </c>
      <c r="AA196" s="1"/>
    </row>
    <row r="197" spans="1:27" s="7" customFormat="1" hidden="1">
      <c r="A197" s="7" t="s">
        <v>4</v>
      </c>
      <c r="B197" s="2">
        <v>-26.4029605539111</v>
      </c>
      <c r="C197" s="2">
        <v>-48.861588379248701</v>
      </c>
      <c r="D197" s="1" t="s">
        <v>454</v>
      </c>
      <c r="E197" s="1" t="s">
        <v>455</v>
      </c>
      <c r="F197" s="1"/>
      <c r="G197" s="1" t="s">
        <v>215</v>
      </c>
      <c r="H197" s="1" t="s">
        <v>456</v>
      </c>
      <c r="I197" s="1" t="s">
        <v>20</v>
      </c>
      <c r="J197" s="2" t="s">
        <v>20</v>
      </c>
      <c r="K197" s="2" t="s">
        <v>20</v>
      </c>
      <c r="L197" s="3">
        <v>37.9</v>
      </c>
      <c r="M197" s="3">
        <v>13.7</v>
      </c>
      <c r="N197" s="3">
        <v>0.23</v>
      </c>
      <c r="O197" s="3">
        <v>3.2</v>
      </c>
      <c r="P197" s="6">
        <v>439.42028985507244</v>
      </c>
      <c r="Q197" s="6">
        <f t="shared" si="12"/>
        <v>136.14906832298135</v>
      </c>
      <c r="R197" s="3">
        <v>-20.9</v>
      </c>
      <c r="S197" s="3">
        <v>10.6</v>
      </c>
      <c r="T197" s="3">
        <v>9.5</v>
      </c>
      <c r="U197" s="1">
        <f t="shared" si="16"/>
        <v>-21.9</v>
      </c>
      <c r="V197" s="1">
        <f t="shared" si="14"/>
        <v>7.1999999999999993</v>
      </c>
      <c r="W197" s="1">
        <f t="shared" si="15"/>
        <v>11</v>
      </c>
      <c r="X197" s="3" t="s">
        <v>11</v>
      </c>
      <c r="Y197" s="1" t="s">
        <v>12</v>
      </c>
      <c r="Z197" s="1" t="s">
        <v>888</v>
      </c>
      <c r="AA197" s="1"/>
    </row>
    <row r="198" spans="1:27" s="7" customFormat="1" hidden="1">
      <c r="A198" s="7" t="s">
        <v>4</v>
      </c>
      <c r="B198" s="2">
        <v>-26.4029605539111</v>
      </c>
      <c r="C198" s="2">
        <v>-48.861588379248701</v>
      </c>
      <c r="D198" s="1" t="s">
        <v>457</v>
      </c>
      <c r="E198" s="1" t="s">
        <v>458</v>
      </c>
      <c r="F198" s="1"/>
      <c r="G198" s="1" t="s">
        <v>215</v>
      </c>
      <c r="H198" s="1" t="s">
        <v>459</v>
      </c>
      <c r="I198" s="1" t="s">
        <v>41</v>
      </c>
      <c r="J198" s="2" t="s">
        <v>20</v>
      </c>
      <c r="K198" s="2" t="s">
        <v>20</v>
      </c>
      <c r="L198" s="3">
        <v>40.4</v>
      </c>
      <c r="M198" s="3">
        <v>14.3</v>
      </c>
      <c r="N198" s="3">
        <v>0.22</v>
      </c>
      <c r="O198" s="3">
        <v>3.3</v>
      </c>
      <c r="P198" s="6">
        <v>489.69696969696969</v>
      </c>
      <c r="Q198" s="6">
        <f t="shared" si="12"/>
        <v>148.57142857142858</v>
      </c>
      <c r="R198" s="3">
        <v>-21</v>
      </c>
      <c r="S198" s="3">
        <v>10.9</v>
      </c>
      <c r="T198" s="3">
        <v>10.4</v>
      </c>
      <c r="U198" s="1">
        <f t="shared" si="16"/>
        <v>-22</v>
      </c>
      <c r="V198" s="1">
        <f t="shared" si="14"/>
        <v>7.5</v>
      </c>
      <c r="W198" s="1">
        <f t="shared" si="15"/>
        <v>11.9</v>
      </c>
      <c r="X198" s="3" t="s">
        <v>11</v>
      </c>
      <c r="Y198" s="1" t="s">
        <v>12</v>
      </c>
      <c r="Z198" s="1" t="s">
        <v>888</v>
      </c>
      <c r="AA198" s="1"/>
    </row>
    <row r="199" spans="1:27" s="7" customFormat="1" hidden="1">
      <c r="A199" s="7" t="s">
        <v>4</v>
      </c>
      <c r="B199" s="2">
        <v>-26.4029605539111</v>
      </c>
      <c r="C199" s="2">
        <v>-48.861588379248701</v>
      </c>
      <c r="D199" s="1" t="s">
        <v>460</v>
      </c>
      <c r="E199" s="1" t="s">
        <v>461</v>
      </c>
      <c r="F199" s="1"/>
      <c r="G199" s="1" t="s">
        <v>215</v>
      </c>
      <c r="H199" s="1" t="s">
        <v>462</v>
      </c>
      <c r="I199" s="1" t="s">
        <v>20</v>
      </c>
      <c r="J199" s="2" t="s">
        <v>20</v>
      </c>
      <c r="K199" s="2" t="s">
        <v>20</v>
      </c>
      <c r="L199" s="3">
        <v>43.3</v>
      </c>
      <c r="M199" s="3">
        <v>15.7</v>
      </c>
      <c r="N199" s="3">
        <v>0.2</v>
      </c>
      <c r="O199" s="3">
        <v>3.2</v>
      </c>
      <c r="P199" s="6">
        <v>577.33333333333326</v>
      </c>
      <c r="Q199" s="6">
        <f t="shared" si="12"/>
        <v>179.42857142857139</v>
      </c>
      <c r="R199" s="3">
        <v>-20.6</v>
      </c>
      <c r="S199" s="3">
        <v>10.4</v>
      </c>
      <c r="T199" s="3">
        <v>10.1</v>
      </c>
      <c r="U199" s="1">
        <f t="shared" si="16"/>
        <v>-21.6</v>
      </c>
      <c r="V199" s="1">
        <f t="shared" si="14"/>
        <v>7</v>
      </c>
      <c r="W199" s="1">
        <f t="shared" si="15"/>
        <v>11.6</v>
      </c>
      <c r="X199" s="3" t="s">
        <v>11</v>
      </c>
      <c r="Y199" s="1" t="s">
        <v>12</v>
      </c>
      <c r="Z199" s="1" t="s">
        <v>888</v>
      </c>
      <c r="AA199" s="1"/>
    </row>
    <row r="200" spans="1:27" s="7" customFormat="1" hidden="1">
      <c r="A200" s="7" t="s">
        <v>4</v>
      </c>
      <c r="B200" s="2">
        <v>-26.4029605539111</v>
      </c>
      <c r="C200" s="2">
        <v>-48.861588379248701</v>
      </c>
      <c r="D200" s="1" t="s">
        <v>463</v>
      </c>
      <c r="E200" s="1" t="s">
        <v>464</v>
      </c>
      <c r="F200" s="1"/>
      <c r="G200" s="1" t="s">
        <v>215</v>
      </c>
      <c r="H200" s="1" t="s">
        <v>465</v>
      </c>
      <c r="I200" s="1" t="s">
        <v>200</v>
      </c>
      <c r="J200" s="2" t="s">
        <v>20</v>
      </c>
      <c r="K200" s="2" t="s">
        <v>20</v>
      </c>
      <c r="L200" s="3">
        <v>43.7</v>
      </c>
      <c r="M200" s="3">
        <v>15</v>
      </c>
      <c r="N200" s="3">
        <v>0.19</v>
      </c>
      <c r="O200" s="3">
        <v>3.4</v>
      </c>
      <c r="P200" s="6">
        <v>613.33333333333337</v>
      </c>
      <c r="Q200" s="6">
        <f t="shared" si="12"/>
        <v>180.45112781954887</v>
      </c>
      <c r="R200" s="3">
        <v>-20.9</v>
      </c>
      <c r="S200" s="3">
        <v>10.6</v>
      </c>
      <c r="T200" s="3">
        <v>10.6</v>
      </c>
      <c r="U200" s="1">
        <f t="shared" si="16"/>
        <v>-21.9</v>
      </c>
      <c r="V200" s="1">
        <f t="shared" si="14"/>
        <v>7.1999999999999993</v>
      </c>
      <c r="W200" s="1">
        <f t="shared" si="15"/>
        <v>12.1</v>
      </c>
      <c r="X200" s="3" t="s">
        <v>11</v>
      </c>
      <c r="Y200" s="1" t="s">
        <v>12</v>
      </c>
      <c r="Z200" s="1" t="s">
        <v>888</v>
      </c>
      <c r="AA200" s="1"/>
    </row>
    <row r="201" spans="1:27" s="7" customFormat="1" hidden="1">
      <c r="A201" s="7" t="s">
        <v>4</v>
      </c>
      <c r="B201" s="2">
        <v>-26.4029605539111</v>
      </c>
      <c r="C201" s="2">
        <v>-48.861588379248701</v>
      </c>
      <c r="D201" s="1" t="s">
        <v>466</v>
      </c>
      <c r="E201" s="1" t="s">
        <v>467</v>
      </c>
      <c r="F201" s="1"/>
      <c r="G201" s="1" t="s">
        <v>215</v>
      </c>
      <c r="H201" s="1" t="s">
        <v>468</v>
      </c>
      <c r="I201" s="1" t="s">
        <v>20</v>
      </c>
      <c r="J201" s="2" t="s">
        <v>20</v>
      </c>
      <c r="K201" s="2" t="s">
        <v>20</v>
      </c>
      <c r="L201" s="3">
        <v>39.799999999999997</v>
      </c>
      <c r="M201" s="3">
        <v>14.7</v>
      </c>
      <c r="N201" s="3">
        <v>0.18</v>
      </c>
      <c r="O201" s="3">
        <v>3.2</v>
      </c>
      <c r="P201" s="6">
        <v>589.62962962962968</v>
      </c>
      <c r="Q201" s="6">
        <f t="shared" si="12"/>
        <v>186.66666666666669</v>
      </c>
      <c r="R201" s="3">
        <v>-19.7</v>
      </c>
      <c r="S201" s="3">
        <v>13.9</v>
      </c>
      <c r="T201" s="3">
        <v>11.7</v>
      </c>
      <c r="U201" s="1">
        <f t="shared" si="16"/>
        <v>-20.7</v>
      </c>
      <c r="V201" s="1">
        <f t="shared" si="14"/>
        <v>10.5</v>
      </c>
      <c r="W201" s="1">
        <f t="shared" si="15"/>
        <v>13.2</v>
      </c>
      <c r="X201" s="3" t="s">
        <v>11</v>
      </c>
      <c r="Y201" s="1" t="s">
        <v>12</v>
      </c>
      <c r="Z201" s="1" t="s">
        <v>888</v>
      </c>
      <c r="AA201" s="1"/>
    </row>
    <row r="202" spans="1:27" s="7" customFormat="1" hidden="1">
      <c r="A202" s="7" t="s">
        <v>4</v>
      </c>
      <c r="B202" s="2">
        <v>-26.4029605539111</v>
      </c>
      <c r="C202" s="2">
        <v>-48.861588379248701</v>
      </c>
      <c r="D202" s="1" t="s">
        <v>469</v>
      </c>
      <c r="E202" s="1" t="s">
        <v>279</v>
      </c>
      <c r="F202" s="1"/>
      <c r="G202" s="1" t="s">
        <v>215</v>
      </c>
      <c r="H202" s="1" t="s">
        <v>470</v>
      </c>
      <c r="I202" s="1" t="s">
        <v>200</v>
      </c>
      <c r="J202" s="2" t="s">
        <v>20</v>
      </c>
      <c r="K202" s="2" t="s">
        <v>20</v>
      </c>
      <c r="L202" s="3">
        <v>41.9</v>
      </c>
      <c r="M202" s="3">
        <v>15.1</v>
      </c>
      <c r="N202" s="3">
        <v>0.21</v>
      </c>
      <c r="O202" s="3">
        <v>3.2</v>
      </c>
      <c r="P202" s="6">
        <v>532.06349206349205</v>
      </c>
      <c r="Q202" s="6">
        <f t="shared" si="12"/>
        <v>164.35374149659864</v>
      </c>
      <c r="R202" s="3">
        <v>-17.7</v>
      </c>
      <c r="S202" s="3">
        <v>16.7</v>
      </c>
      <c r="T202" s="3">
        <v>11.4</v>
      </c>
      <c r="U202" s="1">
        <f t="shared" si="16"/>
        <v>-18.7</v>
      </c>
      <c r="V202" s="1">
        <f t="shared" si="14"/>
        <v>13.299999999999999</v>
      </c>
      <c r="W202" s="1">
        <f t="shared" si="15"/>
        <v>12.9</v>
      </c>
      <c r="X202" s="3" t="s">
        <v>11</v>
      </c>
      <c r="Y202" s="1" t="s">
        <v>12</v>
      </c>
      <c r="Z202" s="1" t="s">
        <v>888</v>
      </c>
      <c r="AA202" s="1"/>
    </row>
    <row r="203" spans="1:27" s="7" customFormat="1" hidden="1">
      <c r="A203" s="7" t="s">
        <v>4</v>
      </c>
      <c r="B203" s="2">
        <v>-26.4029605539111</v>
      </c>
      <c r="C203" s="2">
        <v>-48.861588379248701</v>
      </c>
      <c r="D203" s="1" t="s">
        <v>471</v>
      </c>
      <c r="E203" s="1" t="s">
        <v>472</v>
      </c>
      <c r="F203" s="1"/>
      <c r="G203" s="1" t="s">
        <v>215</v>
      </c>
      <c r="H203" s="1" t="s">
        <v>473</v>
      </c>
      <c r="I203" s="1" t="s">
        <v>41</v>
      </c>
      <c r="J203" s="2" t="s">
        <v>20</v>
      </c>
      <c r="K203" s="2" t="s">
        <v>20</v>
      </c>
      <c r="L203" s="3">
        <v>42.7</v>
      </c>
      <c r="M203" s="3">
        <v>14.5</v>
      </c>
      <c r="N203" s="3">
        <v>0.33</v>
      </c>
      <c r="O203" s="3">
        <v>3.4</v>
      </c>
      <c r="P203" s="6">
        <v>345.05050505050508</v>
      </c>
      <c r="Q203" s="6">
        <f t="shared" ref="Q203:Q218" si="17">M203/N203*32/14</f>
        <v>100.43290043290042</v>
      </c>
      <c r="R203" s="3">
        <v>-20.5</v>
      </c>
      <c r="S203" s="3">
        <v>12.1</v>
      </c>
      <c r="T203" s="3">
        <v>9.1</v>
      </c>
      <c r="U203" s="1">
        <f t="shared" ref="U203:U218" si="18">R203-1</f>
        <v>-21.5</v>
      </c>
      <c r="V203" s="1">
        <f t="shared" ref="V203:V218" si="19">S203-3.4</f>
        <v>8.6999999999999993</v>
      </c>
      <c r="W203" s="1">
        <f t="shared" ref="W203:W218" si="20">T203+1.5</f>
        <v>10.6</v>
      </c>
      <c r="X203" s="3" t="s">
        <v>11</v>
      </c>
      <c r="Y203" s="1" t="s">
        <v>12</v>
      </c>
      <c r="Z203" s="1" t="s">
        <v>888</v>
      </c>
      <c r="AA203" s="1"/>
    </row>
    <row r="204" spans="1:27" hidden="1">
      <c r="A204" s="7" t="s">
        <v>4</v>
      </c>
      <c r="B204" s="2">
        <v>-26.4029605539111</v>
      </c>
      <c r="C204" s="2">
        <v>-48.861588379248701</v>
      </c>
      <c r="D204" s="1" t="s">
        <v>474</v>
      </c>
      <c r="E204" s="1" t="s">
        <v>475</v>
      </c>
      <c r="G204" s="2" t="s">
        <v>215</v>
      </c>
      <c r="H204" s="1" t="s">
        <v>476</v>
      </c>
      <c r="I204" s="1" t="s">
        <v>20</v>
      </c>
      <c r="J204" s="2" t="s">
        <v>20</v>
      </c>
      <c r="K204" s="2" t="s">
        <v>20</v>
      </c>
      <c r="L204" s="3">
        <v>37</v>
      </c>
      <c r="M204" s="3">
        <v>13.2</v>
      </c>
      <c r="N204" s="3">
        <v>0.2</v>
      </c>
      <c r="O204" s="3">
        <v>3.3</v>
      </c>
      <c r="P204" s="6">
        <v>493.33333333333331</v>
      </c>
      <c r="Q204" s="6">
        <f t="shared" si="17"/>
        <v>150.85714285714283</v>
      </c>
      <c r="R204" s="3">
        <v>-21.9</v>
      </c>
      <c r="S204" s="3">
        <v>11.4</v>
      </c>
      <c r="T204" s="3">
        <v>9.9</v>
      </c>
      <c r="U204" s="1">
        <f t="shared" si="18"/>
        <v>-22.9</v>
      </c>
      <c r="V204" s="1">
        <f t="shared" si="19"/>
        <v>8</v>
      </c>
      <c r="W204" s="1">
        <f t="shared" si="20"/>
        <v>11.4</v>
      </c>
      <c r="X204" s="3" t="s">
        <v>11</v>
      </c>
      <c r="Y204" s="1" t="s">
        <v>12</v>
      </c>
      <c r="Z204" s="1" t="s">
        <v>888</v>
      </c>
    </row>
    <row r="205" spans="1:27" hidden="1">
      <c r="A205" s="7" t="s">
        <v>4</v>
      </c>
      <c r="B205" s="2">
        <v>-26.4029605539111</v>
      </c>
      <c r="C205" s="2">
        <v>-48.861588379248701</v>
      </c>
      <c r="D205" s="1" t="s">
        <v>477</v>
      </c>
      <c r="E205" s="1">
        <v>2433</v>
      </c>
      <c r="G205" s="1" t="s">
        <v>215</v>
      </c>
      <c r="H205" s="1" t="s">
        <v>478</v>
      </c>
      <c r="I205" s="1" t="s">
        <v>20</v>
      </c>
      <c r="J205" s="2" t="s">
        <v>20</v>
      </c>
      <c r="K205" s="2" t="s">
        <v>20</v>
      </c>
      <c r="L205" s="3">
        <v>43.3</v>
      </c>
      <c r="M205" s="3">
        <v>14.9</v>
      </c>
      <c r="N205" s="3">
        <v>0.18</v>
      </c>
      <c r="O205" s="3">
        <v>3.4</v>
      </c>
      <c r="P205" s="6">
        <v>641.48148148148141</v>
      </c>
      <c r="Q205" s="6">
        <f t="shared" si="17"/>
        <v>189.20634920634922</v>
      </c>
      <c r="R205" s="3">
        <v>-19.5</v>
      </c>
      <c r="S205" s="3">
        <v>14.1</v>
      </c>
      <c r="T205" s="3">
        <v>12.2</v>
      </c>
      <c r="U205" s="1">
        <f t="shared" si="18"/>
        <v>-20.5</v>
      </c>
      <c r="V205" s="1">
        <f t="shared" si="19"/>
        <v>10.7</v>
      </c>
      <c r="W205" s="1">
        <f t="shared" si="20"/>
        <v>13.7</v>
      </c>
      <c r="X205" s="3" t="s">
        <v>11</v>
      </c>
      <c r="Y205" s="1" t="s">
        <v>12</v>
      </c>
      <c r="Z205" s="1" t="s">
        <v>888</v>
      </c>
    </row>
    <row r="206" spans="1:27" hidden="1">
      <c r="A206" s="7" t="s">
        <v>4</v>
      </c>
      <c r="B206" s="2">
        <v>-26.4029605539111</v>
      </c>
      <c r="C206" s="2">
        <v>-48.861588379248701</v>
      </c>
      <c r="D206" s="1" t="s">
        <v>479</v>
      </c>
      <c r="E206" s="1" t="s">
        <v>480</v>
      </c>
      <c r="G206" s="2" t="s">
        <v>215</v>
      </c>
      <c r="H206" s="1" t="s">
        <v>476</v>
      </c>
      <c r="I206" s="1" t="s">
        <v>20</v>
      </c>
      <c r="J206" s="2" t="s">
        <v>20</v>
      </c>
      <c r="K206" s="2" t="s">
        <v>20</v>
      </c>
      <c r="L206" s="3">
        <v>41.3</v>
      </c>
      <c r="M206" s="3">
        <v>14.7</v>
      </c>
      <c r="N206" s="3">
        <v>0.21</v>
      </c>
      <c r="O206" s="3">
        <v>3.3</v>
      </c>
      <c r="P206" s="6">
        <v>524.44444444444446</v>
      </c>
      <c r="Q206" s="6">
        <f t="shared" si="17"/>
        <v>160</v>
      </c>
      <c r="R206" s="3">
        <v>-19.3</v>
      </c>
      <c r="S206" s="3">
        <v>13.8</v>
      </c>
      <c r="T206" s="3">
        <v>10.6</v>
      </c>
      <c r="U206" s="1">
        <f t="shared" si="18"/>
        <v>-20.3</v>
      </c>
      <c r="V206" s="1">
        <f t="shared" si="19"/>
        <v>10.4</v>
      </c>
      <c r="W206" s="1">
        <f t="shared" si="20"/>
        <v>12.1</v>
      </c>
      <c r="X206" s="3" t="s">
        <v>11</v>
      </c>
      <c r="Y206" s="1" t="s">
        <v>12</v>
      </c>
      <c r="Z206" s="1" t="s">
        <v>888</v>
      </c>
    </row>
    <row r="207" spans="1:27" hidden="1">
      <c r="A207" s="1" t="s">
        <v>4</v>
      </c>
      <c r="B207" s="2">
        <v>-26.4029605539111</v>
      </c>
      <c r="C207" s="2">
        <v>-48.861588379248701</v>
      </c>
      <c r="D207" s="1" t="s">
        <v>481</v>
      </c>
      <c r="E207" s="1" t="s">
        <v>482</v>
      </c>
      <c r="G207" s="1" t="s">
        <v>26</v>
      </c>
      <c r="H207" s="1" t="s">
        <v>483</v>
      </c>
      <c r="I207" s="1" t="s">
        <v>20</v>
      </c>
      <c r="J207" s="2" t="s">
        <v>20</v>
      </c>
      <c r="K207" s="2" t="s">
        <v>20</v>
      </c>
      <c r="L207" s="3">
        <v>43.7</v>
      </c>
      <c r="M207" s="3">
        <v>15.4</v>
      </c>
      <c r="N207" s="3">
        <v>0.24</v>
      </c>
      <c r="O207" s="3">
        <v>3.3</v>
      </c>
      <c r="P207" s="6">
        <v>485.5555555555556</v>
      </c>
      <c r="Q207" s="6">
        <f t="shared" si="17"/>
        <v>146.66666666666669</v>
      </c>
      <c r="R207" s="3">
        <v>-20.8</v>
      </c>
      <c r="S207" s="3">
        <v>12.6</v>
      </c>
      <c r="T207" s="3">
        <v>11.5</v>
      </c>
      <c r="U207" s="1">
        <f t="shared" si="18"/>
        <v>-21.8</v>
      </c>
      <c r="V207" s="1">
        <f t="shared" si="19"/>
        <v>9.1999999999999993</v>
      </c>
      <c r="W207" s="1">
        <f t="shared" si="20"/>
        <v>13</v>
      </c>
      <c r="X207" s="3" t="s">
        <v>11</v>
      </c>
      <c r="Y207" s="1" t="s">
        <v>12</v>
      </c>
      <c r="Z207" s="1" t="s">
        <v>888</v>
      </c>
    </row>
    <row r="208" spans="1:27" hidden="1">
      <c r="A208" s="7" t="s">
        <v>4</v>
      </c>
      <c r="B208" s="2">
        <v>-26.4029605539111</v>
      </c>
      <c r="C208" s="2">
        <v>-48.861588379248701</v>
      </c>
      <c r="D208" s="1" t="s">
        <v>484</v>
      </c>
      <c r="E208" s="1" t="s">
        <v>485</v>
      </c>
      <c r="G208" s="2" t="s">
        <v>215</v>
      </c>
      <c r="H208" s="1" t="s">
        <v>486</v>
      </c>
      <c r="I208" s="1" t="s">
        <v>217</v>
      </c>
      <c r="J208" s="2" t="s">
        <v>20</v>
      </c>
      <c r="K208" s="2" t="s">
        <v>20</v>
      </c>
      <c r="L208" s="3">
        <v>40</v>
      </c>
      <c r="M208" s="3">
        <v>14.5</v>
      </c>
      <c r="N208" s="3">
        <v>0.2</v>
      </c>
      <c r="O208" s="3">
        <v>3.2</v>
      </c>
      <c r="P208" s="6">
        <v>533.33333333333337</v>
      </c>
      <c r="Q208" s="6">
        <f t="shared" si="17"/>
        <v>165.71428571428572</v>
      </c>
      <c r="R208" s="3">
        <v>-22.9</v>
      </c>
      <c r="S208" s="3">
        <v>14.3</v>
      </c>
      <c r="T208" s="3">
        <v>10.8</v>
      </c>
      <c r="U208" s="1">
        <f t="shared" si="18"/>
        <v>-23.9</v>
      </c>
      <c r="V208" s="1">
        <f t="shared" si="19"/>
        <v>10.9</v>
      </c>
      <c r="W208" s="1">
        <f t="shared" si="20"/>
        <v>12.3</v>
      </c>
      <c r="X208" s="3" t="s">
        <v>11</v>
      </c>
      <c r="Y208" s="1" t="s">
        <v>12</v>
      </c>
      <c r="Z208" s="1" t="s">
        <v>888</v>
      </c>
    </row>
    <row r="209" spans="1:26" hidden="1">
      <c r="A209" s="7" t="s">
        <v>4</v>
      </c>
      <c r="B209" s="2">
        <v>-26.4029605539111</v>
      </c>
      <c r="C209" s="2">
        <v>-48.861588379248701</v>
      </c>
      <c r="D209" s="1" t="s">
        <v>487</v>
      </c>
      <c r="E209" s="1" t="s">
        <v>488</v>
      </c>
      <c r="G209" s="2" t="s">
        <v>215</v>
      </c>
      <c r="H209" s="1" t="s">
        <v>489</v>
      </c>
      <c r="I209" s="1" t="s">
        <v>20</v>
      </c>
      <c r="J209" s="2" t="s">
        <v>20</v>
      </c>
      <c r="K209" s="2" t="s">
        <v>20</v>
      </c>
      <c r="L209" s="3">
        <v>42.5</v>
      </c>
      <c r="M209" s="3">
        <v>14.9</v>
      </c>
      <c r="N209" s="3">
        <v>0.19</v>
      </c>
      <c r="O209" s="3">
        <v>3.3</v>
      </c>
      <c r="P209" s="6">
        <v>596.49122807017545</v>
      </c>
      <c r="Q209" s="6">
        <f t="shared" si="17"/>
        <v>179.24812030075188</v>
      </c>
      <c r="R209" s="3">
        <v>-15</v>
      </c>
      <c r="S209" s="3">
        <v>12.2</v>
      </c>
      <c r="T209" s="3">
        <v>8.6</v>
      </c>
      <c r="U209" s="1">
        <f t="shared" si="18"/>
        <v>-16</v>
      </c>
      <c r="V209" s="1">
        <f t="shared" si="19"/>
        <v>8.7999999999999989</v>
      </c>
      <c r="W209" s="1">
        <f t="shared" si="20"/>
        <v>10.1</v>
      </c>
      <c r="X209" s="3" t="s">
        <v>11</v>
      </c>
      <c r="Y209" s="1" t="s">
        <v>12</v>
      </c>
      <c r="Z209" s="1" t="s">
        <v>888</v>
      </c>
    </row>
    <row r="210" spans="1:26" hidden="1">
      <c r="A210" s="7" t="s">
        <v>4</v>
      </c>
      <c r="B210" s="2">
        <v>-26.4029605539111</v>
      </c>
      <c r="C210" s="2">
        <v>-48.861588379248701</v>
      </c>
      <c r="D210" s="1" t="s">
        <v>490</v>
      </c>
      <c r="E210" s="1" t="s">
        <v>491</v>
      </c>
      <c r="G210" s="2" t="s">
        <v>215</v>
      </c>
      <c r="H210" s="1" t="s">
        <v>476</v>
      </c>
      <c r="I210" s="1" t="s">
        <v>20</v>
      </c>
      <c r="J210" s="2" t="s">
        <v>20</v>
      </c>
      <c r="K210" s="2" t="s">
        <v>20</v>
      </c>
      <c r="L210" s="3">
        <v>42.6</v>
      </c>
      <c r="M210" s="3">
        <v>15.1</v>
      </c>
      <c r="N210" s="3">
        <v>0.2</v>
      </c>
      <c r="O210" s="3">
        <v>3.3</v>
      </c>
      <c r="P210" s="6">
        <v>568</v>
      </c>
      <c r="Q210" s="6">
        <f t="shared" si="17"/>
        <v>172.57142857142858</v>
      </c>
      <c r="R210" s="3">
        <v>-21.2</v>
      </c>
      <c r="S210" s="3">
        <v>10.7</v>
      </c>
      <c r="T210" s="3">
        <v>10.6</v>
      </c>
      <c r="U210" s="1">
        <f t="shared" si="18"/>
        <v>-22.2</v>
      </c>
      <c r="V210" s="1">
        <f t="shared" si="19"/>
        <v>7.2999999999999989</v>
      </c>
      <c r="W210" s="1">
        <f t="shared" si="20"/>
        <v>12.1</v>
      </c>
      <c r="X210" s="3" t="s">
        <v>11</v>
      </c>
      <c r="Y210" s="1" t="s">
        <v>12</v>
      </c>
      <c r="Z210" s="1" t="s">
        <v>888</v>
      </c>
    </row>
    <row r="211" spans="1:26" hidden="1">
      <c r="A211" s="7" t="s">
        <v>4</v>
      </c>
      <c r="B211" s="2">
        <v>-26.4029605539111</v>
      </c>
      <c r="C211" s="2">
        <v>-48.861588379248701</v>
      </c>
      <c r="D211" s="1" t="s">
        <v>492</v>
      </c>
      <c r="E211" s="1" t="s">
        <v>493</v>
      </c>
      <c r="G211" s="2" t="s">
        <v>215</v>
      </c>
      <c r="H211" s="1" t="s">
        <v>476</v>
      </c>
      <c r="I211" s="1" t="s">
        <v>20</v>
      </c>
      <c r="J211" s="2" t="s">
        <v>20</v>
      </c>
      <c r="K211" s="2" t="s">
        <v>20</v>
      </c>
      <c r="L211" s="3">
        <v>43.6</v>
      </c>
      <c r="M211" s="3">
        <v>15.3</v>
      </c>
      <c r="N211" s="3">
        <v>0.2</v>
      </c>
      <c r="O211" s="3">
        <v>3.4</v>
      </c>
      <c r="P211" s="6">
        <v>581.33333333333337</v>
      </c>
      <c r="Q211" s="6">
        <f t="shared" si="17"/>
        <v>174.85714285714286</v>
      </c>
      <c r="R211" s="3">
        <v>-19</v>
      </c>
      <c r="S211" s="3">
        <v>13.9</v>
      </c>
      <c r="T211" s="3">
        <v>11.1</v>
      </c>
      <c r="U211" s="1">
        <f t="shared" si="18"/>
        <v>-20</v>
      </c>
      <c r="V211" s="1">
        <f t="shared" si="19"/>
        <v>10.5</v>
      </c>
      <c r="W211" s="1">
        <f t="shared" si="20"/>
        <v>12.6</v>
      </c>
      <c r="X211" s="3" t="s">
        <v>11</v>
      </c>
      <c r="Y211" s="1" t="s">
        <v>12</v>
      </c>
      <c r="Z211" s="1" t="s">
        <v>888</v>
      </c>
    </row>
    <row r="212" spans="1:26" hidden="1">
      <c r="A212" s="7" t="s">
        <v>4</v>
      </c>
      <c r="B212" s="2">
        <v>-26.4029605539111</v>
      </c>
      <c r="C212" s="2">
        <v>-48.861588379248701</v>
      </c>
      <c r="D212" s="1" t="s">
        <v>494</v>
      </c>
      <c r="E212" s="1" t="s">
        <v>495</v>
      </c>
      <c r="G212" s="2" t="s">
        <v>215</v>
      </c>
      <c r="H212" s="1" t="s">
        <v>476</v>
      </c>
      <c r="I212" s="1" t="s">
        <v>20</v>
      </c>
      <c r="J212" s="2" t="s">
        <v>20</v>
      </c>
      <c r="K212" s="2" t="s">
        <v>20</v>
      </c>
      <c r="L212" s="3">
        <v>41.2</v>
      </c>
      <c r="M212" s="3">
        <v>13.6</v>
      </c>
      <c r="N212" s="3">
        <v>0.2</v>
      </c>
      <c r="O212" s="3">
        <v>3.5</v>
      </c>
      <c r="P212" s="6">
        <v>549.33333333333337</v>
      </c>
      <c r="Q212" s="6">
        <f t="shared" si="17"/>
        <v>155.42857142857142</v>
      </c>
      <c r="R212" s="3">
        <v>-18.399999999999999</v>
      </c>
      <c r="S212" s="3">
        <v>12.4</v>
      </c>
      <c r="T212" s="3">
        <v>9.3000000000000007</v>
      </c>
      <c r="U212" s="1">
        <f t="shared" si="18"/>
        <v>-19.399999999999999</v>
      </c>
      <c r="V212" s="1">
        <f t="shared" si="19"/>
        <v>9</v>
      </c>
      <c r="W212" s="1">
        <f t="shared" si="20"/>
        <v>10.8</v>
      </c>
      <c r="X212" s="3" t="s">
        <v>11</v>
      </c>
      <c r="Y212" s="1" t="s">
        <v>12</v>
      </c>
      <c r="Z212" s="1" t="s">
        <v>888</v>
      </c>
    </row>
    <row r="213" spans="1:26" hidden="1">
      <c r="A213" s="7" t="s">
        <v>4</v>
      </c>
      <c r="B213" s="2">
        <v>-26.4029605539111</v>
      </c>
      <c r="C213" s="2">
        <v>-48.861588379248701</v>
      </c>
      <c r="D213" s="1" t="s">
        <v>496</v>
      </c>
      <c r="E213" s="1" t="s">
        <v>497</v>
      </c>
      <c r="G213" s="2" t="s">
        <v>215</v>
      </c>
      <c r="H213" s="1" t="s">
        <v>498</v>
      </c>
      <c r="I213" s="1" t="s">
        <v>217</v>
      </c>
      <c r="J213" s="2" t="s">
        <v>20</v>
      </c>
      <c r="K213" s="2" t="s">
        <v>20</v>
      </c>
      <c r="L213" s="3">
        <v>43</v>
      </c>
      <c r="M213" s="3">
        <v>14.8</v>
      </c>
      <c r="N213" s="3">
        <v>0.2</v>
      </c>
      <c r="O213" s="3">
        <v>3.4</v>
      </c>
      <c r="P213" s="6">
        <v>573.33333333333337</v>
      </c>
      <c r="Q213" s="6">
        <f t="shared" si="17"/>
        <v>169.14285714285714</v>
      </c>
      <c r="R213" s="3">
        <v>-11.9</v>
      </c>
      <c r="S213" s="3">
        <v>17</v>
      </c>
      <c r="T213" s="3">
        <v>10.5</v>
      </c>
      <c r="U213" s="1">
        <f t="shared" si="18"/>
        <v>-12.9</v>
      </c>
      <c r="V213" s="1">
        <f t="shared" si="19"/>
        <v>13.6</v>
      </c>
      <c r="W213" s="1">
        <f t="shared" si="20"/>
        <v>12</v>
      </c>
      <c r="X213" s="3" t="s">
        <v>11</v>
      </c>
      <c r="Y213" s="1" t="s">
        <v>12</v>
      </c>
      <c r="Z213" s="1" t="s">
        <v>888</v>
      </c>
    </row>
    <row r="214" spans="1:26" hidden="1">
      <c r="A214" s="7" t="s">
        <v>4</v>
      </c>
      <c r="B214" s="2">
        <v>-26.4029605539111</v>
      </c>
      <c r="C214" s="2">
        <v>-48.861588379248701</v>
      </c>
      <c r="D214" s="1" t="s">
        <v>499</v>
      </c>
      <c r="E214" s="1" t="s">
        <v>500</v>
      </c>
      <c r="G214" s="2" t="s">
        <v>215</v>
      </c>
      <c r="H214" s="1" t="s">
        <v>476</v>
      </c>
      <c r="I214" s="1" t="s">
        <v>20</v>
      </c>
      <c r="J214" s="2" t="s">
        <v>20</v>
      </c>
      <c r="K214" s="1" t="s">
        <v>218</v>
      </c>
      <c r="L214" s="3">
        <v>40.4</v>
      </c>
      <c r="M214" s="3">
        <v>14.3</v>
      </c>
      <c r="N214" s="3">
        <v>0.17</v>
      </c>
      <c r="O214" s="3">
        <v>3.3</v>
      </c>
      <c r="P214" s="6">
        <v>633.72549019607834</v>
      </c>
      <c r="Q214" s="6">
        <f t="shared" si="17"/>
        <v>192.26890756302518</v>
      </c>
      <c r="R214" s="3">
        <v>-21.7</v>
      </c>
      <c r="S214" s="3">
        <v>13.4</v>
      </c>
      <c r="T214" s="3">
        <v>12.2</v>
      </c>
      <c r="U214" s="1">
        <f t="shared" si="18"/>
        <v>-22.7</v>
      </c>
      <c r="V214" s="1">
        <f t="shared" si="19"/>
        <v>10</v>
      </c>
      <c r="W214" s="1">
        <f t="shared" si="20"/>
        <v>13.7</v>
      </c>
      <c r="X214" s="3" t="s">
        <v>11</v>
      </c>
      <c r="Y214" s="1" t="s">
        <v>12</v>
      </c>
      <c r="Z214" s="1" t="s">
        <v>888</v>
      </c>
    </row>
    <row r="215" spans="1:26" hidden="1">
      <c r="A215" s="7" t="s">
        <v>4</v>
      </c>
      <c r="B215" s="2">
        <v>-26.4029605539111</v>
      </c>
      <c r="C215" s="2">
        <v>-48.861588379248701</v>
      </c>
      <c r="D215" s="1" t="s">
        <v>501</v>
      </c>
      <c r="E215" s="1">
        <v>2450</v>
      </c>
      <c r="G215" s="2" t="s">
        <v>215</v>
      </c>
      <c r="H215" s="1" t="s">
        <v>502</v>
      </c>
      <c r="I215" s="1" t="s">
        <v>20</v>
      </c>
      <c r="J215" s="2" t="s">
        <v>20</v>
      </c>
      <c r="K215" s="2" t="s">
        <v>20</v>
      </c>
      <c r="L215" s="3">
        <v>44.3</v>
      </c>
      <c r="M215" s="3">
        <v>15.2</v>
      </c>
      <c r="N215" s="3">
        <v>0.21</v>
      </c>
      <c r="O215" s="3">
        <v>3.4</v>
      </c>
      <c r="P215" s="6">
        <v>562.53968253968253</v>
      </c>
      <c r="Q215" s="6">
        <f t="shared" si="17"/>
        <v>165.44217687074828</v>
      </c>
      <c r="R215" s="3">
        <v>-13.4</v>
      </c>
      <c r="S215" s="3">
        <v>16.8</v>
      </c>
      <c r="T215" s="3">
        <v>10.5</v>
      </c>
      <c r="U215" s="1">
        <f t="shared" si="18"/>
        <v>-14.4</v>
      </c>
      <c r="V215" s="1">
        <f t="shared" si="19"/>
        <v>13.4</v>
      </c>
      <c r="W215" s="1">
        <f t="shared" si="20"/>
        <v>12</v>
      </c>
      <c r="X215" s="3" t="s">
        <v>11</v>
      </c>
      <c r="Y215" s="1" t="s">
        <v>12</v>
      </c>
      <c r="Z215" s="1" t="s">
        <v>888</v>
      </c>
    </row>
    <row r="216" spans="1:26" hidden="1">
      <c r="A216" s="7" t="s">
        <v>4</v>
      </c>
      <c r="B216" s="2">
        <v>-26.4029605539111</v>
      </c>
      <c r="C216" s="2">
        <v>-48.861588379248701</v>
      </c>
      <c r="D216" s="1" t="s">
        <v>503</v>
      </c>
      <c r="E216" s="1">
        <v>2434</v>
      </c>
      <c r="G216" s="2" t="s">
        <v>215</v>
      </c>
      <c r="H216" s="1" t="s">
        <v>476</v>
      </c>
      <c r="I216" s="1" t="s">
        <v>20</v>
      </c>
      <c r="J216" s="2" t="s">
        <v>20</v>
      </c>
      <c r="K216" s="2" t="s">
        <v>20</v>
      </c>
      <c r="L216" s="3">
        <v>40.5</v>
      </c>
      <c r="M216" s="3">
        <v>14.3</v>
      </c>
      <c r="N216" s="3">
        <v>0.2</v>
      </c>
      <c r="O216" s="3">
        <v>3.3</v>
      </c>
      <c r="P216" s="6">
        <v>540</v>
      </c>
      <c r="Q216" s="6">
        <f t="shared" si="17"/>
        <v>163.42857142857142</v>
      </c>
      <c r="R216" s="3">
        <v>-22.6</v>
      </c>
      <c r="S216" s="3">
        <v>13.3</v>
      </c>
      <c r="T216" s="3">
        <v>9</v>
      </c>
      <c r="U216" s="1">
        <f t="shared" si="18"/>
        <v>-23.6</v>
      </c>
      <c r="V216" s="1">
        <f t="shared" si="19"/>
        <v>9.9</v>
      </c>
      <c r="W216" s="1">
        <f t="shared" si="20"/>
        <v>10.5</v>
      </c>
      <c r="X216" s="3" t="s">
        <v>11</v>
      </c>
      <c r="Y216" s="1" t="s">
        <v>12</v>
      </c>
      <c r="Z216" s="1" t="s">
        <v>888</v>
      </c>
    </row>
    <row r="217" spans="1:26" hidden="1">
      <c r="A217" s="1" t="s">
        <v>4</v>
      </c>
      <c r="B217" s="2">
        <v>-26.4029605539111</v>
      </c>
      <c r="C217" s="2">
        <v>-48.861588379248701</v>
      </c>
      <c r="D217" s="1" t="s">
        <v>504</v>
      </c>
      <c r="E217" s="1">
        <v>3367</v>
      </c>
      <c r="G217" s="1" t="s">
        <v>26</v>
      </c>
      <c r="H217" s="1" t="s">
        <v>505</v>
      </c>
      <c r="I217" s="1" t="s">
        <v>20</v>
      </c>
      <c r="J217" s="2" t="s">
        <v>20</v>
      </c>
      <c r="K217" s="2" t="s">
        <v>20</v>
      </c>
      <c r="L217" s="3">
        <v>21.7</v>
      </c>
      <c r="M217" s="3">
        <v>8.1</v>
      </c>
      <c r="N217" s="3">
        <v>0.17</v>
      </c>
      <c r="O217" s="3">
        <v>3.1</v>
      </c>
      <c r="P217" s="6">
        <v>340.39215686274503</v>
      </c>
      <c r="Q217" s="6">
        <f t="shared" si="17"/>
        <v>108.90756302521007</v>
      </c>
      <c r="R217" s="3">
        <v>-21.1</v>
      </c>
      <c r="S217" s="3">
        <v>12.9</v>
      </c>
      <c r="T217" s="3">
        <v>10.9</v>
      </c>
      <c r="U217" s="1">
        <f t="shared" si="18"/>
        <v>-22.1</v>
      </c>
      <c r="V217" s="1">
        <f t="shared" si="19"/>
        <v>9.5</v>
      </c>
      <c r="W217" s="1">
        <f t="shared" si="20"/>
        <v>12.4</v>
      </c>
      <c r="X217" s="3" t="s">
        <v>11</v>
      </c>
      <c r="Y217" s="1" t="s">
        <v>12</v>
      </c>
      <c r="Z217" s="1" t="s">
        <v>888</v>
      </c>
    </row>
    <row r="218" spans="1:26" hidden="1">
      <c r="A218" s="7" t="s">
        <v>4</v>
      </c>
      <c r="B218" s="2">
        <v>-26.4029605539111</v>
      </c>
      <c r="C218" s="2">
        <v>-48.861588379248701</v>
      </c>
      <c r="D218" s="1" t="s">
        <v>506</v>
      </c>
      <c r="E218" s="1" t="s">
        <v>507</v>
      </c>
      <c r="G218" s="2" t="s">
        <v>215</v>
      </c>
      <c r="H218" s="1" t="s">
        <v>476</v>
      </c>
      <c r="I218" s="1" t="s">
        <v>20</v>
      </c>
      <c r="J218" s="2" t="s">
        <v>20</v>
      </c>
      <c r="K218" s="2" t="s">
        <v>20</v>
      </c>
      <c r="L218" s="3">
        <v>27.6</v>
      </c>
      <c r="M218" s="3">
        <v>9.8000000000000007</v>
      </c>
      <c r="N218" s="3">
        <v>0.22</v>
      </c>
      <c r="O218" s="3">
        <v>3.3</v>
      </c>
      <c r="P218" s="6">
        <v>334.54545454545456</v>
      </c>
      <c r="Q218" s="6">
        <f t="shared" si="17"/>
        <v>101.81818181818183</v>
      </c>
      <c r="R218" s="3">
        <v>-19.399999999999999</v>
      </c>
      <c r="S218" s="3">
        <v>13.4</v>
      </c>
      <c r="T218" s="3">
        <v>9.9</v>
      </c>
      <c r="U218" s="1">
        <f t="shared" si="18"/>
        <v>-20.399999999999999</v>
      </c>
      <c r="V218" s="1">
        <f t="shared" si="19"/>
        <v>10</v>
      </c>
      <c r="W218" s="1">
        <f t="shared" si="20"/>
        <v>11.4</v>
      </c>
      <c r="X218" s="3" t="s">
        <v>11</v>
      </c>
      <c r="Y218" s="1" t="s">
        <v>12</v>
      </c>
      <c r="Z218" s="1" t="s">
        <v>888</v>
      </c>
    </row>
    <row r="219" spans="1:26">
      <c r="A219" s="1" t="s">
        <v>508</v>
      </c>
      <c r="B219" s="2">
        <v>-28.578976000000001</v>
      </c>
      <c r="C219" s="2">
        <v>-48.960303590000002</v>
      </c>
      <c r="L219" s="3"/>
      <c r="M219" s="3"/>
      <c r="N219" s="3"/>
      <c r="O219" s="3"/>
      <c r="P219" s="6"/>
      <c r="Q219" s="6"/>
      <c r="R219" s="3"/>
      <c r="S219" s="3"/>
      <c r="T219" s="3"/>
      <c r="X219" s="3"/>
    </row>
    <row r="220" spans="1:26">
      <c r="L220" s="3"/>
      <c r="M220" s="3"/>
      <c r="N220" s="3"/>
      <c r="O220" s="3"/>
      <c r="P220" s="6"/>
      <c r="Q220" s="6"/>
      <c r="R220" s="3"/>
      <c r="S220" s="3"/>
      <c r="T220" s="3"/>
      <c r="X220" s="3"/>
    </row>
    <row r="221" spans="1:26">
      <c r="J221" s="2"/>
      <c r="L221" s="3"/>
      <c r="M221" s="3"/>
      <c r="N221" s="3"/>
      <c r="O221" s="3"/>
      <c r="P221" s="6"/>
      <c r="Q221" s="6"/>
      <c r="R221" s="3"/>
      <c r="S221" s="3"/>
      <c r="T221" s="3"/>
      <c r="X221" s="3"/>
    </row>
    <row r="222" spans="1:26">
      <c r="J222" s="2"/>
      <c r="L222" s="3"/>
      <c r="M222" s="3"/>
      <c r="N222" s="3"/>
      <c r="O222" s="3"/>
      <c r="P222" s="6"/>
      <c r="Q222" s="6"/>
      <c r="R222" s="3"/>
      <c r="S222" s="3"/>
      <c r="T222" s="3"/>
      <c r="X222" s="3"/>
    </row>
    <row r="223" spans="1:26">
      <c r="J223" s="2"/>
      <c r="L223" s="3"/>
      <c r="M223" s="3"/>
      <c r="N223" s="3"/>
      <c r="O223" s="3"/>
      <c r="P223" s="6"/>
      <c r="Q223" s="6"/>
      <c r="R223" s="3"/>
      <c r="S223" s="3"/>
      <c r="T223" s="3"/>
      <c r="X223" s="3"/>
    </row>
    <row r="224" spans="1:26">
      <c r="L224" s="3"/>
      <c r="M224" s="3"/>
      <c r="N224" s="3"/>
      <c r="O224" s="3"/>
      <c r="P224" s="6"/>
      <c r="Q224" s="6"/>
      <c r="R224" s="3"/>
      <c r="S224" s="3"/>
      <c r="T224" s="3"/>
      <c r="X224" s="3"/>
    </row>
    <row r="225" spans="10:24">
      <c r="J225" s="2"/>
      <c r="L225" s="3"/>
      <c r="M225" s="3"/>
      <c r="N225" s="3"/>
      <c r="O225" s="3"/>
      <c r="P225" s="6"/>
      <c r="Q225" s="6"/>
      <c r="R225" s="3"/>
      <c r="S225" s="3"/>
      <c r="T225" s="3"/>
      <c r="X225" s="3"/>
    </row>
    <row r="226" spans="10:24">
      <c r="J226" s="2"/>
      <c r="L226" s="3"/>
      <c r="M226" s="3"/>
      <c r="N226" s="3"/>
      <c r="O226" s="3"/>
      <c r="P226" s="6"/>
      <c r="Q226" s="6"/>
      <c r="R226" s="3"/>
      <c r="S226" s="3"/>
      <c r="T226" s="3"/>
      <c r="X226" s="3"/>
    </row>
    <row r="227" spans="10:24">
      <c r="L227" s="3"/>
      <c r="M227" s="3"/>
      <c r="N227" s="3"/>
      <c r="O227" s="3"/>
      <c r="P227" s="6"/>
      <c r="Q227" s="6"/>
      <c r="R227" s="3"/>
      <c r="S227" s="3"/>
      <c r="T227" s="3"/>
      <c r="X227" s="3"/>
    </row>
    <row r="228" spans="10:24">
      <c r="J228" s="2"/>
      <c r="L228" s="3"/>
      <c r="M228" s="3"/>
      <c r="N228" s="3"/>
      <c r="O228" s="3"/>
      <c r="P228" s="6"/>
      <c r="Q228" s="6"/>
      <c r="R228" s="3"/>
      <c r="S228" s="3"/>
      <c r="T228" s="3"/>
      <c r="X228" s="3"/>
    </row>
    <row r="229" spans="10:24">
      <c r="L229" s="3"/>
      <c r="M229" s="3"/>
      <c r="N229" s="3"/>
      <c r="O229" s="3"/>
      <c r="P229" s="6"/>
      <c r="Q229" s="6"/>
      <c r="R229" s="3"/>
      <c r="S229" s="3"/>
      <c r="T229" s="3"/>
      <c r="X229" s="3"/>
    </row>
    <row r="230" spans="10:24">
      <c r="L230" s="3"/>
      <c r="M230" s="3"/>
      <c r="N230" s="3"/>
      <c r="O230" s="3"/>
      <c r="P230" s="6"/>
      <c r="Q230" s="6"/>
      <c r="R230" s="3"/>
      <c r="S230" s="3"/>
      <c r="T230" s="3"/>
      <c r="X230" s="3"/>
    </row>
    <row r="231" spans="10:24">
      <c r="L231" s="3"/>
      <c r="M231" s="3"/>
      <c r="N231" s="3"/>
      <c r="O231" s="3"/>
      <c r="P231" s="6"/>
      <c r="Q231" s="6"/>
      <c r="R231" s="3"/>
      <c r="S231" s="3"/>
      <c r="T231" s="3"/>
      <c r="X231" s="3"/>
    </row>
    <row r="232" spans="10:24">
      <c r="J232" s="2"/>
      <c r="L232" s="3"/>
      <c r="M232" s="3"/>
      <c r="N232" s="3"/>
      <c r="O232" s="3"/>
      <c r="P232" s="6"/>
      <c r="Q232" s="6"/>
      <c r="R232" s="3"/>
      <c r="S232" s="3"/>
      <c r="T232" s="3"/>
      <c r="X232" s="3"/>
    </row>
    <row r="233" spans="10:24">
      <c r="J233" s="2"/>
      <c r="L233" s="3"/>
      <c r="M233" s="3"/>
      <c r="N233" s="3"/>
      <c r="O233" s="3"/>
      <c r="P233" s="6"/>
      <c r="Q233" s="6"/>
      <c r="R233" s="3"/>
      <c r="S233" s="3"/>
      <c r="T233" s="3"/>
      <c r="X233" s="3"/>
    </row>
    <row r="234" spans="10:24">
      <c r="L234" s="3"/>
      <c r="M234" s="3"/>
      <c r="N234" s="3"/>
      <c r="O234" s="3"/>
      <c r="P234" s="6"/>
      <c r="Q234" s="6"/>
      <c r="R234" s="3"/>
      <c r="S234" s="3"/>
      <c r="T234" s="3"/>
      <c r="X234" s="3"/>
    </row>
    <row r="235" spans="10:24">
      <c r="L235" s="3"/>
      <c r="M235" s="3"/>
      <c r="N235" s="3"/>
      <c r="O235" s="3"/>
      <c r="P235" s="6"/>
      <c r="Q235" s="6"/>
      <c r="R235" s="3"/>
      <c r="S235" s="3"/>
      <c r="T235" s="3"/>
      <c r="X235" s="3"/>
    </row>
    <row r="236" spans="10:24">
      <c r="J236" s="2"/>
      <c r="L236" s="3"/>
      <c r="M236" s="3"/>
      <c r="N236" s="3"/>
      <c r="O236" s="3"/>
      <c r="P236" s="6"/>
      <c r="Q236" s="6"/>
      <c r="R236" s="3"/>
      <c r="S236" s="3"/>
      <c r="T236" s="3"/>
      <c r="X236" s="3"/>
    </row>
    <row r="237" spans="10:24">
      <c r="L237" s="3"/>
      <c r="M237" s="3"/>
      <c r="N237" s="3"/>
      <c r="O237" s="3"/>
      <c r="P237" s="6"/>
      <c r="Q237" s="6"/>
      <c r="R237" s="3"/>
      <c r="S237" s="3"/>
      <c r="T237" s="3"/>
      <c r="X237" s="3"/>
    </row>
    <row r="238" spans="10:24">
      <c r="J238" s="2"/>
      <c r="K238" s="2"/>
      <c r="L238" s="3"/>
      <c r="M238" s="3"/>
      <c r="N238" s="3"/>
      <c r="O238" s="3"/>
      <c r="P238" s="6"/>
      <c r="Q238" s="6"/>
      <c r="R238" s="3"/>
      <c r="S238" s="3"/>
      <c r="T238" s="3"/>
      <c r="X238" s="3"/>
    </row>
    <row r="239" spans="10:24">
      <c r="J239" s="2"/>
      <c r="K239" s="2"/>
      <c r="L239" s="3"/>
      <c r="M239" s="3"/>
      <c r="N239" s="3"/>
      <c r="O239" s="3"/>
      <c r="P239" s="6"/>
      <c r="Q239" s="6"/>
      <c r="R239" s="3"/>
      <c r="S239" s="3"/>
      <c r="T239" s="3"/>
      <c r="X239" s="3"/>
    </row>
    <row r="240" spans="10:24">
      <c r="J240" s="2"/>
      <c r="K240" s="2"/>
      <c r="L240" s="3"/>
      <c r="M240" s="3"/>
      <c r="N240" s="3"/>
      <c r="O240" s="3"/>
      <c r="P240" s="6"/>
      <c r="Q240" s="6"/>
      <c r="R240" s="3"/>
      <c r="S240" s="3"/>
      <c r="T240" s="3"/>
      <c r="X240" s="3"/>
    </row>
    <row r="241" spans="1:24">
      <c r="K241" s="2"/>
      <c r="L241" s="3"/>
      <c r="M241" s="3"/>
      <c r="N241" s="3"/>
      <c r="O241" s="3"/>
      <c r="P241" s="6"/>
      <c r="Q241" s="6"/>
      <c r="R241" s="3"/>
      <c r="S241" s="3"/>
      <c r="T241" s="3"/>
      <c r="X241" s="3"/>
    </row>
    <row r="242" spans="1:24">
      <c r="J242" s="2"/>
      <c r="K242" s="2"/>
      <c r="L242" s="3"/>
      <c r="M242" s="3"/>
      <c r="N242" s="3"/>
      <c r="O242" s="3"/>
      <c r="P242" s="6"/>
      <c r="Q242" s="6"/>
      <c r="R242" s="3"/>
      <c r="S242" s="3"/>
      <c r="T242" s="3"/>
      <c r="X242" s="3"/>
    </row>
    <row r="243" spans="1:24">
      <c r="K243" s="2"/>
      <c r="L243" s="3"/>
      <c r="M243" s="3"/>
      <c r="N243" s="3"/>
      <c r="O243" s="3"/>
      <c r="P243" s="6"/>
      <c r="Q243" s="6"/>
      <c r="R243" s="3"/>
      <c r="S243" s="3"/>
      <c r="T243" s="3"/>
      <c r="X243" s="3"/>
    </row>
    <row r="244" spans="1:24">
      <c r="A244" s="1" t="s">
        <v>508</v>
      </c>
      <c r="B244" s="2">
        <v>-28.578976000000001</v>
      </c>
      <c r="C244" s="2">
        <v>-48.960303590000002</v>
      </c>
      <c r="J244" s="2"/>
      <c r="K244" s="2"/>
      <c r="L244" s="3"/>
      <c r="M244" s="3"/>
      <c r="N244" s="3"/>
      <c r="O244" s="3"/>
      <c r="P244" s="6"/>
      <c r="Q244" s="6"/>
      <c r="R244" s="3"/>
      <c r="S244" s="3"/>
      <c r="T244" s="3"/>
      <c r="X244" s="3"/>
    </row>
    <row r="245" spans="1:24">
      <c r="A245" s="1" t="s">
        <v>508</v>
      </c>
      <c r="B245" s="2">
        <v>-28.578976000000001</v>
      </c>
      <c r="C245" s="2">
        <v>-48.960303590000002</v>
      </c>
      <c r="J245" s="2"/>
      <c r="L245" s="3"/>
      <c r="M245" s="3"/>
      <c r="O245" s="3"/>
      <c r="R245" s="3"/>
      <c r="S245" s="3"/>
    </row>
    <row r="246" spans="1:24">
      <c r="A246" s="1" t="s">
        <v>508</v>
      </c>
      <c r="B246" s="2">
        <v>-28.578976000000001</v>
      </c>
      <c r="C246" s="2">
        <v>-48.960303590000002</v>
      </c>
      <c r="L246" s="3"/>
      <c r="M246" s="3"/>
      <c r="O246" s="3"/>
      <c r="R246" s="3"/>
      <c r="S246" s="3"/>
    </row>
    <row r="247" spans="1:24">
      <c r="A247" s="1" t="s">
        <v>508</v>
      </c>
      <c r="B247" s="2">
        <v>-28.578976000000001</v>
      </c>
      <c r="C247" s="2">
        <v>-48.960303590000002</v>
      </c>
      <c r="J247" s="2"/>
      <c r="L247" s="3"/>
      <c r="M247" s="3"/>
      <c r="O247" s="3"/>
      <c r="R247" s="3"/>
      <c r="S247" s="3"/>
    </row>
    <row r="248" spans="1:24">
      <c r="A248" s="1" t="s">
        <v>508</v>
      </c>
      <c r="B248" s="2">
        <v>-28.578976000000001</v>
      </c>
      <c r="C248" s="2">
        <v>-48.960303590000002</v>
      </c>
      <c r="L248" s="3"/>
      <c r="M248" s="3"/>
      <c r="O248" s="3"/>
      <c r="R248" s="3"/>
      <c r="S248" s="3"/>
    </row>
    <row r="249" spans="1:24">
      <c r="A249" s="1" t="s">
        <v>508</v>
      </c>
      <c r="B249" s="2">
        <v>-28.578976000000001</v>
      </c>
      <c r="C249" s="2">
        <v>-48.960303590000002</v>
      </c>
      <c r="L249" s="3"/>
      <c r="M249" s="3"/>
      <c r="O249" s="3"/>
      <c r="R249" s="3"/>
      <c r="S249" s="3"/>
    </row>
    <row r="250" spans="1:24">
      <c r="A250" s="1" t="s">
        <v>508</v>
      </c>
      <c r="B250" s="2">
        <v>-28.578976000000001</v>
      </c>
      <c r="C250" s="2">
        <v>-48.960303590000002</v>
      </c>
      <c r="J250" s="2"/>
      <c r="L250" s="3"/>
      <c r="M250" s="3"/>
      <c r="O250" s="3"/>
      <c r="R250" s="3"/>
      <c r="S250" s="3"/>
    </row>
    <row r="251" spans="1:24">
      <c r="A251" s="1" t="s">
        <v>508</v>
      </c>
      <c r="B251" s="2">
        <v>-28.578976000000001</v>
      </c>
      <c r="C251" s="2">
        <v>-48.960303590000002</v>
      </c>
      <c r="L251" s="3"/>
      <c r="M251" s="3"/>
      <c r="O251" s="3"/>
      <c r="R251" s="3"/>
      <c r="S251" s="3"/>
    </row>
    <row r="252" spans="1:24">
      <c r="A252" s="1" t="s">
        <v>508</v>
      </c>
      <c r="B252" s="2">
        <v>-28.578976000000001</v>
      </c>
      <c r="C252" s="2">
        <v>-48.960303590000002</v>
      </c>
      <c r="L252" s="3"/>
      <c r="M252" s="3"/>
      <c r="O252" s="3"/>
      <c r="R252" s="3"/>
      <c r="S252" s="3"/>
    </row>
    <row r="253" spans="1:24">
      <c r="A253" s="1" t="s">
        <v>508</v>
      </c>
      <c r="B253" s="2">
        <v>-28.578976000000001</v>
      </c>
      <c r="C253" s="2">
        <v>-48.960303590000002</v>
      </c>
      <c r="L253" s="3"/>
      <c r="M253" s="3"/>
      <c r="O253" s="3"/>
      <c r="R253" s="3"/>
      <c r="S253" s="3"/>
    </row>
    <row r="254" spans="1:24">
      <c r="A254" s="1" t="s">
        <v>508</v>
      </c>
      <c r="B254" s="2">
        <v>-28.578976000000001</v>
      </c>
      <c r="C254" s="2">
        <v>-48.960303590000002</v>
      </c>
      <c r="J254" s="2"/>
      <c r="L254" s="3"/>
      <c r="M254" s="3"/>
      <c r="O254" s="3"/>
      <c r="R254" s="3"/>
      <c r="S254" s="3"/>
    </row>
    <row r="255" spans="1:24">
      <c r="A255" s="1" t="s">
        <v>508</v>
      </c>
      <c r="B255" s="2">
        <v>-28.578976000000001</v>
      </c>
      <c r="C255" s="2">
        <v>-48.960303590000002</v>
      </c>
      <c r="L255" s="3"/>
      <c r="M255" s="3"/>
      <c r="O255" s="3"/>
      <c r="R255" s="3"/>
      <c r="S255" s="3"/>
    </row>
    <row r="256" spans="1:24">
      <c r="A256" s="1" t="s">
        <v>508</v>
      </c>
      <c r="B256" s="2">
        <v>-28.578976000000001</v>
      </c>
      <c r="C256" s="2">
        <v>-48.960303590000002</v>
      </c>
      <c r="J256" s="2"/>
      <c r="L256" s="3"/>
      <c r="M256" s="3"/>
      <c r="O256" s="3"/>
      <c r="R256" s="3"/>
      <c r="S256" s="3"/>
    </row>
    <row r="257" spans="1:27">
      <c r="A257" s="1" t="s">
        <v>508</v>
      </c>
      <c r="B257" s="2">
        <v>-28.578976000000001</v>
      </c>
      <c r="C257" s="2">
        <v>-48.960303590000002</v>
      </c>
      <c r="L257" s="3"/>
      <c r="M257" s="3"/>
      <c r="O257" s="3"/>
      <c r="R257" s="3"/>
      <c r="S257" s="3"/>
    </row>
    <row r="258" spans="1:27" s="7" customFormat="1">
      <c r="A258" s="1" t="s">
        <v>508</v>
      </c>
      <c r="B258" s="2">
        <v>-28.578976000000001</v>
      </c>
      <c r="C258" s="2">
        <v>-48.960303590000002</v>
      </c>
      <c r="D258" s="1"/>
      <c r="E258" s="1"/>
      <c r="F258" s="1"/>
      <c r="G258" s="1"/>
      <c r="H258" s="1"/>
      <c r="I258" s="1"/>
      <c r="J258" s="2"/>
      <c r="K258" s="1"/>
      <c r="L258" s="3"/>
      <c r="M258" s="3"/>
      <c r="N258" s="1"/>
      <c r="O258" s="3"/>
      <c r="P258" s="1"/>
      <c r="Q258" s="1"/>
      <c r="R258" s="3"/>
      <c r="S258" s="3"/>
      <c r="T258" s="1"/>
      <c r="U258" s="1"/>
      <c r="V258" s="1"/>
      <c r="W258" s="1"/>
      <c r="X258" s="1"/>
      <c r="Y258" s="1"/>
      <c r="Z258" s="1"/>
      <c r="AA258" s="1"/>
    </row>
    <row r="259" spans="1:27" s="7" customFormat="1">
      <c r="A259" s="1" t="s">
        <v>508</v>
      </c>
      <c r="B259" s="2">
        <v>-28.578976000000001</v>
      </c>
      <c r="C259" s="2">
        <v>-48.960303590000002</v>
      </c>
      <c r="D259" s="1"/>
      <c r="E259" s="1"/>
      <c r="F259" s="1"/>
      <c r="G259" s="1"/>
      <c r="H259" s="1"/>
      <c r="I259" s="1"/>
      <c r="J259" s="1"/>
      <c r="K259" s="1"/>
      <c r="L259" s="3"/>
      <c r="M259" s="3"/>
      <c r="N259" s="1"/>
      <c r="O259" s="3"/>
      <c r="P259" s="1"/>
      <c r="Q259" s="1"/>
      <c r="R259" s="3"/>
      <c r="S259" s="3"/>
      <c r="T259" s="1"/>
      <c r="U259" s="1"/>
      <c r="V259" s="1"/>
      <c r="W259" s="1"/>
      <c r="X259" s="1"/>
      <c r="Y259" s="1"/>
      <c r="Z259" s="1"/>
      <c r="AA259" s="1"/>
    </row>
    <row r="260" spans="1:27" s="7" customFormat="1">
      <c r="A260" s="1" t="s">
        <v>508</v>
      </c>
      <c r="B260" s="2">
        <v>-28.578976000000001</v>
      </c>
      <c r="C260" s="2">
        <v>-48.960303590000002</v>
      </c>
      <c r="D260" s="1"/>
      <c r="E260" s="1"/>
      <c r="F260" s="1"/>
      <c r="G260" s="1"/>
      <c r="H260" s="1"/>
      <c r="I260" s="1"/>
      <c r="J260" s="1"/>
      <c r="K260" s="1"/>
      <c r="L260" s="3"/>
      <c r="M260" s="3"/>
      <c r="N260" s="1"/>
      <c r="O260" s="3"/>
      <c r="P260" s="1"/>
      <c r="Q260" s="1"/>
      <c r="R260" s="3"/>
      <c r="S260" s="3"/>
      <c r="T260" s="1"/>
      <c r="U260" s="1"/>
      <c r="V260" s="1"/>
      <c r="W260" s="1"/>
      <c r="X260" s="1"/>
      <c r="Y260" s="1"/>
      <c r="Z260" s="1"/>
      <c r="AA260" s="1"/>
    </row>
    <row r="261" spans="1:27" s="7" customFormat="1">
      <c r="A261" s="1" t="s">
        <v>508</v>
      </c>
      <c r="B261" s="2">
        <v>-28.578976000000001</v>
      </c>
      <c r="C261" s="2">
        <v>-48.960303590000002</v>
      </c>
      <c r="D261" s="1"/>
      <c r="E261" s="1"/>
      <c r="F261" s="1"/>
      <c r="G261" s="1"/>
      <c r="H261" s="1"/>
      <c r="I261" s="1"/>
      <c r="J261" s="2"/>
      <c r="K261" s="1"/>
      <c r="L261" s="3"/>
      <c r="M261" s="3"/>
      <c r="N261" s="1"/>
      <c r="O261" s="3"/>
      <c r="P261" s="1"/>
      <c r="Q261" s="1"/>
      <c r="R261" s="3"/>
      <c r="S261" s="3"/>
      <c r="T261" s="1"/>
      <c r="U261" s="1"/>
      <c r="V261" s="1"/>
      <c r="W261" s="1"/>
      <c r="X261" s="1"/>
      <c r="Y261" s="1"/>
      <c r="Z261" s="1"/>
      <c r="AA261" s="1"/>
    </row>
    <row r="262" spans="1:27" s="7" customFormat="1">
      <c r="A262" s="1" t="s">
        <v>508</v>
      </c>
      <c r="B262" s="2">
        <v>-28.578976000000001</v>
      </c>
      <c r="C262" s="2">
        <v>-48.960303590000002</v>
      </c>
      <c r="D262" s="1"/>
      <c r="E262" s="1"/>
      <c r="F262" s="1"/>
      <c r="G262" s="1"/>
      <c r="H262" s="1"/>
      <c r="I262" s="1"/>
      <c r="J262" s="1"/>
      <c r="K262" s="1"/>
      <c r="L262" s="3"/>
      <c r="M262" s="3"/>
      <c r="N262" s="1"/>
      <c r="O262" s="3"/>
      <c r="P262" s="1"/>
      <c r="Q262" s="1"/>
      <c r="R262" s="3"/>
      <c r="S262" s="3"/>
      <c r="T262" s="1"/>
      <c r="U262" s="1"/>
      <c r="V262" s="1"/>
      <c r="W262" s="1"/>
      <c r="X262" s="1"/>
      <c r="Y262" s="1"/>
      <c r="Z262" s="1"/>
      <c r="AA262" s="1"/>
    </row>
    <row r="263" spans="1:27" s="7" customFormat="1">
      <c r="A263" s="1" t="s">
        <v>508</v>
      </c>
      <c r="B263" s="2">
        <v>-28.578976000000001</v>
      </c>
      <c r="C263" s="2">
        <v>-48.960303590000002</v>
      </c>
      <c r="D263" s="1"/>
      <c r="E263" s="1"/>
      <c r="F263" s="1"/>
      <c r="G263" s="1"/>
      <c r="H263" s="1"/>
      <c r="I263" s="1"/>
      <c r="J263" s="1"/>
      <c r="K263" s="1"/>
      <c r="L263" s="3"/>
      <c r="M263" s="3"/>
      <c r="N263" s="1"/>
      <c r="O263" s="3"/>
      <c r="P263" s="1"/>
      <c r="Q263" s="1"/>
      <c r="R263" s="3"/>
      <c r="S263" s="3"/>
      <c r="T263" s="1"/>
      <c r="U263" s="1"/>
      <c r="V263" s="1"/>
      <c r="W263" s="1"/>
      <c r="X263" s="1"/>
      <c r="Y263" s="1"/>
      <c r="Z263" s="1"/>
      <c r="AA263" s="1"/>
    </row>
    <row r="264" spans="1:27" s="7" customFormat="1">
      <c r="A264" s="1" t="s">
        <v>508</v>
      </c>
      <c r="B264" s="2">
        <v>-28.578976000000001</v>
      </c>
      <c r="C264" s="2">
        <v>-48.960303590000002</v>
      </c>
      <c r="D264" s="1"/>
      <c r="E264" s="1"/>
      <c r="F264" s="1"/>
      <c r="G264" s="1"/>
      <c r="H264" s="1"/>
      <c r="I264" s="1"/>
      <c r="J264" s="1"/>
      <c r="K264" s="1"/>
      <c r="L264" s="3"/>
      <c r="M264" s="3"/>
      <c r="N264" s="1"/>
      <c r="O264" s="3"/>
      <c r="P264" s="1"/>
      <c r="Q264" s="1"/>
      <c r="R264" s="3"/>
      <c r="S264" s="3"/>
      <c r="T264" s="1"/>
      <c r="U264" s="1"/>
      <c r="V264" s="1"/>
      <c r="W264" s="1"/>
      <c r="X264" s="1"/>
      <c r="Y264" s="1"/>
      <c r="Z264" s="1"/>
      <c r="AA264" s="1"/>
    </row>
    <row r="265" spans="1:27" s="7" customFormat="1">
      <c r="A265" s="1" t="s">
        <v>508</v>
      </c>
      <c r="B265" s="2">
        <v>-28.578976000000001</v>
      </c>
      <c r="C265" s="2">
        <v>-48.960303590000002</v>
      </c>
      <c r="D265" s="1"/>
      <c r="E265" s="1"/>
      <c r="F265" s="1"/>
      <c r="G265" s="1"/>
      <c r="H265" s="1"/>
      <c r="I265" s="1"/>
      <c r="J265" s="2"/>
      <c r="K265" s="1"/>
      <c r="L265" s="3"/>
      <c r="M265" s="3"/>
      <c r="N265" s="1"/>
      <c r="O265" s="3"/>
      <c r="P265" s="1"/>
      <c r="Q265" s="1"/>
      <c r="R265" s="3"/>
      <c r="S265" s="3"/>
      <c r="T265" s="1"/>
      <c r="U265" s="1"/>
      <c r="V265" s="1"/>
      <c r="W265" s="1"/>
      <c r="X265" s="1"/>
      <c r="Y265" s="1"/>
      <c r="Z265" s="1"/>
      <c r="AA265" s="1"/>
    </row>
    <row r="266" spans="1:27" s="7" customFormat="1">
      <c r="A266" s="1" t="s">
        <v>508</v>
      </c>
      <c r="B266" s="2">
        <v>-28.578976000000001</v>
      </c>
      <c r="C266" s="2">
        <v>-48.960303590000002</v>
      </c>
      <c r="D266" s="1"/>
      <c r="E266" s="1"/>
      <c r="F266" s="1"/>
      <c r="G266" s="1"/>
      <c r="H266" s="1"/>
      <c r="I266" s="1"/>
      <c r="J266" s="2"/>
      <c r="K266" s="1"/>
      <c r="L266" s="3"/>
      <c r="M266" s="3"/>
      <c r="N266" s="1"/>
      <c r="O266" s="3"/>
      <c r="P266" s="1"/>
      <c r="Q266" s="1"/>
      <c r="R266" s="3"/>
      <c r="S266" s="3"/>
      <c r="T266" s="1"/>
      <c r="U266" s="1"/>
      <c r="V266" s="1"/>
      <c r="W266" s="1"/>
      <c r="X266" s="1"/>
      <c r="Y266" s="1"/>
      <c r="Z266" s="1"/>
      <c r="AA266" s="1"/>
    </row>
    <row r="267" spans="1:27" s="7" customFormat="1">
      <c r="A267" s="1" t="s">
        <v>508</v>
      </c>
      <c r="B267" s="2">
        <v>-28.578976000000001</v>
      </c>
      <c r="C267" s="2">
        <v>-48.960303590000002</v>
      </c>
      <c r="D267" s="1"/>
      <c r="E267" s="1"/>
      <c r="F267" s="1"/>
      <c r="G267" s="1"/>
      <c r="H267" s="1"/>
      <c r="I267" s="1"/>
      <c r="J267" s="2"/>
      <c r="K267" s="1"/>
      <c r="L267" s="3"/>
      <c r="M267" s="3"/>
      <c r="N267" s="1"/>
      <c r="O267" s="3"/>
      <c r="P267" s="1"/>
      <c r="Q267" s="1"/>
      <c r="R267" s="3"/>
      <c r="S267" s="3"/>
      <c r="T267" s="1"/>
      <c r="U267" s="1"/>
      <c r="V267" s="1"/>
      <c r="W267" s="1"/>
      <c r="X267" s="1"/>
      <c r="Y267" s="1"/>
      <c r="Z267" s="1"/>
      <c r="AA267" s="1"/>
    </row>
    <row r="268" spans="1:27" s="7" customFormat="1">
      <c r="A268" s="1" t="s">
        <v>508</v>
      </c>
      <c r="B268" s="2">
        <v>-28.578976000000001</v>
      </c>
      <c r="C268" s="2">
        <v>-48.960303590000002</v>
      </c>
      <c r="D268" s="1"/>
      <c r="E268" s="1"/>
      <c r="F268" s="1"/>
      <c r="G268" s="1"/>
      <c r="H268" s="1"/>
      <c r="I268" s="1"/>
      <c r="J268" s="2"/>
      <c r="K268" s="1"/>
      <c r="L268" s="3"/>
      <c r="M268" s="3"/>
      <c r="N268" s="1"/>
      <c r="O268" s="3"/>
      <c r="P268" s="1"/>
      <c r="Q268" s="1"/>
      <c r="R268" s="3"/>
      <c r="S268" s="3"/>
      <c r="T268" s="1"/>
      <c r="U268" s="1"/>
      <c r="V268" s="1"/>
      <c r="W268" s="1"/>
      <c r="X268" s="1"/>
      <c r="Y268" s="1"/>
      <c r="Z268" s="1"/>
      <c r="AA268" s="1"/>
    </row>
    <row r="269" spans="1:27">
      <c r="A269" s="1" t="s">
        <v>508</v>
      </c>
      <c r="B269" s="2">
        <v>-28.578976000000001</v>
      </c>
      <c r="C269" s="2">
        <v>-48.960303590000002</v>
      </c>
      <c r="J269" s="2"/>
      <c r="L269" s="3"/>
      <c r="M269" s="3"/>
      <c r="O269" s="3"/>
      <c r="R269" s="3"/>
      <c r="S269" s="3"/>
    </row>
    <row r="270" spans="1:27" s="7" customFormat="1">
      <c r="A270" s="1" t="s">
        <v>508</v>
      </c>
      <c r="B270" s="2">
        <v>-28.578976000000001</v>
      </c>
      <c r="C270" s="2">
        <v>-48.960303590000002</v>
      </c>
      <c r="D270" s="1"/>
      <c r="E270" s="1"/>
      <c r="F270" s="1"/>
      <c r="G270" s="1"/>
      <c r="H270" s="1"/>
      <c r="I270" s="1"/>
      <c r="J270" s="1"/>
      <c r="K270" s="1"/>
      <c r="L270" s="3"/>
      <c r="M270" s="3"/>
      <c r="N270" s="1"/>
      <c r="O270" s="3"/>
      <c r="P270" s="1"/>
      <c r="Q270" s="1"/>
      <c r="R270" s="3"/>
      <c r="S270" s="3"/>
      <c r="T270" s="1"/>
      <c r="U270" s="1"/>
      <c r="V270" s="1"/>
      <c r="W270" s="1"/>
      <c r="X270" s="1"/>
      <c r="Y270" s="1"/>
      <c r="Z270" s="1"/>
      <c r="AA270" s="1"/>
    </row>
    <row r="271" spans="1:27" s="7" customFormat="1">
      <c r="A271" s="1" t="s">
        <v>508</v>
      </c>
      <c r="B271" s="2">
        <v>-28.578976000000001</v>
      </c>
      <c r="C271" s="2">
        <v>-48.960303590000002</v>
      </c>
      <c r="D271" s="1"/>
      <c r="E271" s="1"/>
      <c r="F271" s="1"/>
      <c r="G271" s="1"/>
      <c r="H271" s="1"/>
      <c r="I271" s="1"/>
      <c r="J271" s="2"/>
      <c r="K271" s="1"/>
      <c r="L271" s="3"/>
      <c r="M271" s="3"/>
      <c r="N271" s="1"/>
      <c r="O271" s="3"/>
      <c r="P271" s="1"/>
      <c r="Q271" s="1"/>
      <c r="R271" s="3"/>
      <c r="S271" s="3"/>
      <c r="T271" s="1"/>
      <c r="U271" s="1"/>
      <c r="V271" s="1"/>
      <c r="W271" s="1"/>
      <c r="X271" s="1"/>
      <c r="Y271" s="1"/>
      <c r="Z271" s="1"/>
      <c r="AA271" s="1"/>
    </row>
    <row r="272" spans="1:27" s="7" customFormat="1" hidden="1">
      <c r="A272" s="1" t="s">
        <v>517</v>
      </c>
      <c r="B272" s="2">
        <v>-27</v>
      </c>
      <c r="C272" s="2">
        <v>-48.6</v>
      </c>
      <c r="D272" s="1"/>
      <c r="E272" s="1">
        <v>118</v>
      </c>
      <c r="F272" s="1"/>
      <c r="G272" s="1" t="s">
        <v>26</v>
      </c>
      <c r="H272" s="1"/>
      <c r="I272" s="1" t="s">
        <v>41</v>
      </c>
      <c r="J272" s="1" t="s">
        <v>33</v>
      </c>
      <c r="K272" s="1" t="s">
        <v>518</v>
      </c>
      <c r="L272" s="3" t="s">
        <v>519</v>
      </c>
      <c r="M272" s="3" t="s">
        <v>520</v>
      </c>
      <c r="N272" s="1"/>
      <c r="O272" s="3" t="s">
        <v>521</v>
      </c>
      <c r="P272" s="1"/>
      <c r="Q272" s="1"/>
      <c r="R272" s="3">
        <v>-12.2</v>
      </c>
      <c r="S272" s="3">
        <v>14.2</v>
      </c>
      <c r="T272" s="1"/>
      <c r="U272" s="1"/>
      <c r="V272" s="1"/>
      <c r="W272" s="1"/>
      <c r="X272" s="1"/>
      <c r="Y272" s="1"/>
      <c r="Z272" s="1"/>
      <c r="AA272" s="1"/>
    </row>
    <row r="273" spans="1:27" s="7" customFormat="1" hidden="1">
      <c r="A273" s="1" t="s">
        <v>517</v>
      </c>
      <c r="B273" s="2">
        <v>-27</v>
      </c>
      <c r="C273" s="2">
        <v>-48.6</v>
      </c>
      <c r="D273" s="1"/>
      <c r="E273" s="1">
        <v>119</v>
      </c>
      <c r="F273" s="1"/>
      <c r="G273" s="1" t="s">
        <v>26</v>
      </c>
      <c r="H273" s="1"/>
      <c r="I273" s="1" t="s">
        <v>41</v>
      </c>
      <c r="J273" s="1" t="s">
        <v>42</v>
      </c>
      <c r="K273" s="1" t="s">
        <v>518</v>
      </c>
      <c r="L273" s="3" t="s">
        <v>522</v>
      </c>
      <c r="M273" s="3" t="s">
        <v>523</v>
      </c>
      <c r="N273" s="1"/>
      <c r="O273" s="3" t="s">
        <v>524</v>
      </c>
      <c r="P273" s="1"/>
      <c r="Q273" s="1"/>
      <c r="R273" s="3">
        <v>-12.7</v>
      </c>
      <c r="S273" s="3">
        <v>16.5</v>
      </c>
      <c r="T273" s="1"/>
      <c r="U273" s="1"/>
      <c r="V273" s="1"/>
      <c r="W273" s="1"/>
      <c r="X273" s="1"/>
      <c r="Y273" s="1"/>
      <c r="Z273" s="1"/>
      <c r="AA273" s="1"/>
    </row>
    <row r="274" spans="1:27" s="7" customFormat="1" hidden="1">
      <c r="A274" s="1" t="s">
        <v>517</v>
      </c>
      <c r="B274" s="2">
        <v>-27</v>
      </c>
      <c r="C274" s="2">
        <v>-48.6</v>
      </c>
      <c r="D274" s="1"/>
      <c r="E274" s="1">
        <v>126</v>
      </c>
      <c r="F274" s="1"/>
      <c r="G274" s="1" t="s">
        <v>26</v>
      </c>
      <c r="H274" s="1"/>
      <c r="I274" s="1" t="s">
        <v>41</v>
      </c>
      <c r="J274" s="2" t="s">
        <v>20</v>
      </c>
      <c r="K274" s="1" t="s">
        <v>177</v>
      </c>
      <c r="L274" s="3" t="s">
        <v>525</v>
      </c>
      <c r="M274" s="3" t="s">
        <v>526</v>
      </c>
      <c r="N274" s="1"/>
      <c r="O274" s="3" t="s">
        <v>527</v>
      </c>
      <c r="P274" s="1"/>
      <c r="Q274" s="1"/>
      <c r="R274" s="3">
        <v>-13.1</v>
      </c>
      <c r="S274" s="3">
        <v>16.2</v>
      </c>
      <c r="T274" s="1"/>
      <c r="U274" s="1"/>
      <c r="V274" s="1"/>
      <c r="W274" s="1"/>
      <c r="X274" s="1"/>
      <c r="Y274" s="1"/>
      <c r="Z274" s="1"/>
      <c r="AA274" s="1"/>
    </row>
    <row r="275" spans="1:27" s="7" customFormat="1" hidden="1">
      <c r="A275" s="1" t="s">
        <v>517</v>
      </c>
      <c r="B275" s="2">
        <v>-27</v>
      </c>
      <c r="C275" s="2">
        <v>-48.6</v>
      </c>
      <c r="D275" s="1"/>
      <c r="E275" s="1">
        <v>136</v>
      </c>
      <c r="F275" s="1"/>
      <c r="G275" s="1" t="s">
        <v>26</v>
      </c>
      <c r="H275" s="1"/>
      <c r="I275" s="1" t="s">
        <v>41</v>
      </c>
      <c r="J275" s="1" t="s">
        <v>42</v>
      </c>
      <c r="K275" s="1" t="s">
        <v>31</v>
      </c>
      <c r="L275" s="3" t="s">
        <v>52</v>
      </c>
      <c r="M275" s="3" t="s">
        <v>528</v>
      </c>
      <c r="N275" s="1"/>
      <c r="O275" s="3" t="s">
        <v>529</v>
      </c>
      <c r="P275" s="1"/>
      <c r="Q275" s="1"/>
      <c r="R275" s="3">
        <v>-14.9</v>
      </c>
      <c r="S275" s="3">
        <v>15</v>
      </c>
      <c r="T275" s="1"/>
      <c r="U275" s="1"/>
      <c r="V275" s="1"/>
      <c r="W275" s="1"/>
      <c r="X275" s="1"/>
      <c r="Y275" s="1"/>
      <c r="Z275" s="1"/>
      <c r="AA275" s="1"/>
    </row>
    <row r="276" spans="1:27" s="7" customFormat="1" hidden="1">
      <c r="A276" s="1" t="s">
        <v>517</v>
      </c>
      <c r="B276" s="2">
        <v>-27</v>
      </c>
      <c r="C276" s="2">
        <v>-48.6</v>
      </c>
      <c r="D276" s="1"/>
      <c r="E276" s="1">
        <v>140</v>
      </c>
      <c r="F276" s="1"/>
      <c r="G276" s="1" t="s">
        <v>26</v>
      </c>
      <c r="H276" s="1"/>
      <c r="I276" s="1" t="s">
        <v>41</v>
      </c>
      <c r="J276" s="2" t="s">
        <v>20</v>
      </c>
      <c r="K276" s="1" t="s">
        <v>518</v>
      </c>
      <c r="L276" s="3" t="s">
        <v>530</v>
      </c>
      <c r="M276" s="3" t="s">
        <v>531</v>
      </c>
      <c r="N276" s="1"/>
      <c r="O276" s="3" t="s">
        <v>524</v>
      </c>
      <c r="P276" s="1"/>
      <c r="Q276" s="1"/>
      <c r="R276" s="3">
        <v>-19.8</v>
      </c>
      <c r="S276" s="3">
        <v>10.7</v>
      </c>
      <c r="T276" s="1"/>
      <c r="U276" s="1"/>
      <c r="V276" s="1"/>
      <c r="W276" s="1"/>
      <c r="X276" s="1"/>
      <c r="Y276" s="1"/>
      <c r="Z276" s="1"/>
      <c r="AA276" s="1"/>
    </row>
    <row r="277" spans="1:27" s="7" customFormat="1" hidden="1">
      <c r="A277" s="1" t="s">
        <v>517</v>
      </c>
      <c r="B277" s="2">
        <v>-27</v>
      </c>
      <c r="C277" s="2">
        <v>-48.6</v>
      </c>
      <c r="D277" s="1"/>
      <c r="E277" s="1">
        <v>141</v>
      </c>
      <c r="F277" s="1"/>
      <c r="G277" s="1" t="s">
        <v>26</v>
      </c>
      <c r="H277" s="1"/>
      <c r="I277" s="1" t="s">
        <v>41</v>
      </c>
      <c r="J277" s="1" t="s">
        <v>33</v>
      </c>
      <c r="K277" s="1" t="s">
        <v>31</v>
      </c>
      <c r="L277" s="3" t="s">
        <v>532</v>
      </c>
      <c r="M277" s="3" t="s">
        <v>106</v>
      </c>
      <c r="N277" s="1"/>
      <c r="O277" s="3" t="s">
        <v>533</v>
      </c>
      <c r="P277" s="1"/>
      <c r="Q277" s="1"/>
      <c r="R277" s="3">
        <v>-12.7</v>
      </c>
      <c r="S277" s="3">
        <v>15.8</v>
      </c>
      <c r="T277" s="1"/>
      <c r="U277" s="1"/>
      <c r="V277" s="1"/>
      <c r="W277" s="1"/>
      <c r="X277" s="1"/>
      <c r="Y277" s="1"/>
      <c r="Z277" s="1"/>
      <c r="AA277" s="1"/>
    </row>
    <row r="278" spans="1:27" s="7" customFormat="1" hidden="1">
      <c r="A278" s="1" t="s">
        <v>517</v>
      </c>
      <c r="B278" s="2">
        <v>-27</v>
      </c>
      <c r="C278" s="2">
        <v>-48.6</v>
      </c>
      <c r="D278" s="1"/>
      <c r="E278" s="1">
        <v>144</v>
      </c>
      <c r="F278" s="1"/>
      <c r="G278" s="1" t="s">
        <v>26</v>
      </c>
      <c r="H278" s="1"/>
      <c r="I278" s="1" t="s">
        <v>41</v>
      </c>
      <c r="J278" s="1" t="s">
        <v>42</v>
      </c>
      <c r="K278" s="1" t="s">
        <v>31</v>
      </c>
      <c r="L278" s="3" t="s">
        <v>534</v>
      </c>
      <c r="M278" s="3" t="s">
        <v>535</v>
      </c>
      <c r="N278" s="1"/>
      <c r="O278" s="3" t="s">
        <v>536</v>
      </c>
      <c r="P278" s="1"/>
      <c r="Q278" s="1"/>
      <c r="R278" s="3">
        <v>-13.9</v>
      </c>
      <c r="S278" s="3">
        <v>15.3</v>
      </c>
      <c r="T278" s="1"/>
      <c r="U278" s="1"/>
      <c r="V278" s="1"/>
      <c r="W278" s="1"/>
      <c r="X278" s="1"/>
      <c r="Y278" s="1"/>
      <c r="Z278" s="1"/>
      <c r="AA278" s="1"/>
    </row>
    <row r="279" spans="1:27" hidden="1">
      <c r="A279" s="1" t="s">
        <v>517</v>
      </c>
      <c r="B279" s="2">
        <v>-27</v>
      </c>
      <c r="C279" s="2">
        <v>-48.6</v>
      </c>
      <c r="E279" s="1">
        <v>146</v>
      </c>
      <c r="G279" s="1" t="s">
        <v>26</v>
      </c>
      <c r="I279" s="1" t="s">
        <v>41</v>
      </c>
      <c r="J279" s="1" t="s">
        <v>42</v>
      </c>
      <c r="K279" s="1" t="s">
        <v>90</v>
      </c>
      <c r="L279" s="3" t="s">
        <v>537</v>
      </c>
      <c r="M279" s="3" t="s">
        <v>260</v>
      </c>
      <c r="O279" s="3" t="s">
        <v>538</v>
      </c>
      <c r="R279" s="3">
        <v>-13.6</v>
      </c>
      <c r="S279" s="3">
        <v>15.5</v>
      </c>
    </row>
    <row r="280" spans="1:27" s="7" customFormat="1" hidden="1">
      <c r="A280" s="1" t="s">
        <v>517</v>
      </c>
      <c r="B280" s="2">
        <v>-27</v>
      </c>
      <c r="C280" s="2">
        <v>-48.6</v>
      </c>
      <c r="D280" s="1"/>
      <c r="E280" s="1">
        <v>152</v>
      </c>
      <c r="F280" s="1"/>
      <c r="G280" s="1" t="s">
        <v>26</v>
      </c>
      <c r="H280" s="1"/>
      <c r="I280" s="1" t="s">
        <v>41</v>
      </c>
      <c r="J280" s="1" t="s">
        <v>33</v>
      </c>
      <c r="K280" s="1" t="s">
        <v>90</v>
      </c>
      <c r="L280" s="3" t="s">
        <v>539</v>
      </c>
      <c r="M280" s="3" t="s">
        <v>540</v>
      </c>
      <c r="N280" s="1"/>
      <c r="O280" s="3" t="s">
        <v>541</v>
      </c>
      <c r="P280" s="1"/>
      <c r="Q280" s="1"/>
      <c r="R280" s="3">
        <v>-13.7</v>
      </c>
      <c r="S280" s="3">
        <v>16.899999999999999</v>
      </c>
      <c r="T280" s="1"/>
      <c r="U280" s="1"/>
      <c r="V280" s="1"/>
      <c r="W280" s="1"/>
      <c r="X280" s="1"/>
      <c r="Y280" s="1"/>
      <c r="Z280" s="1"/>
      <c r="AA280" s="1"/>
    </row>
    <row r="281" spans="1:27" hidden="1">
      <c r="A281" s="1" t="s">
        <v>542</v>
      </c>
      <c r="B281" s="2">
        <v>-27</v>
      </c>
      <c r="C281" s="2">
        <v>-48.6</v>
      </c>
      <c r="E281" s="1">
        <v>22</v>
      </c>
      <c r="G281" s="1" t="s">
        <v>215</v>
      </c>
      <c r="H281" s="7"/>
      <c r="I281" s="1" t="s">
        <v>32</v>
      </c>
      <c r="J281" s="2" t="s">
        <v>20</v>
      </c>
      <c r="K281" s="1" t="s">
        <v>518</v>
      </c>
      <c r="L281" s="3" t="s">
        <v>543</v>
      </c>
      <c r="M281" s="3" t="s">
        <v>544</v>
      </c>
      <c r="N281" s="7"/>
      <c r="O281" s="3" t="s">
        <v>538</v>
      </c>
      <c r="P281" s="7"/>
      <c r="Q281" s="7"/>
      <c r="R281" s="3">
        <v>-19.2</v>
      </c>
      <c r="S281" s="3">
        <v>10.9</v>
      </c>
      <c r="X281" s="7"/>
      <c r="Y281" s="7"/>
      <c r="Z281" s="7"/>
    </row>
    <row r="282" spans="1:27" hidden="1">
      <c r="A282" s="1" t="s">
        <v>542</v>
      </c>
      <c r="B282" s="2">
        <v>-27</v>
      </c>
      <c r="C282" s="2">
        <v>-48.6</v>
      </c>
      <c r="E282" s="1">
        <v>30</v>
      </c>
      <c r="G282" s="1" t="s">
        <v>215</v>
      </c>
      <c r="H282" s="7"/>
      <c r="I282" s="1" t="s">
        <v>41</v>
      </c>
      <c r="J282" s="1" t="s">
        <v>42</v>
      </c>
      <c r="K282" s="1" t="s">
        <v>172</v>
      </c>
      <c r="L282" s="3" t="s">
        <v>545</v>
      </c>
      <c r="M282" s="3" t="s">
        <v>546</v>
      </c>
      <c r="N282" s="7"/>
      <c r="O282" s="3" t="s">
        <v>538</v>
      </c>
      <c r="P282" s="7"/>
      <c r="Q282" s="7"/>
      <c r="R282" s="3">
        <v>-15.7</v>
      </c>
      <c r="S282" s="3">
        <v>15.8</v>
      </c>
      <c r="X282" s="7"/>
      <c r="Y282" s="7"/>
      <c r="Z282" s="7"/>
    </row>
    <row r="283" spans="1:27" hidden="1">
      <c r="A283" s="1" t="s">
        <v>542</v>
      </c>
      <c r="B283" s="2">
        <v>-27</v>
      </c>
      <c r="C283" s="2">
        <v>-48.6</v>
      </c>
      <c r="E283" s="1">
        <v>35</v>
      </c>
      <c r="G283" s="1" t="s">
        <v>215</v>
      </c>
      <c r="H283" s="7"/>
      <c r="I283" s="1" t="s">
        <v>41</v>
      </c>
      <c r="J283" s="2" t="s">
        <v>20</v>
      </c>
      <c r="K283" s="1" t="s">
        <v>84</v>
      </c>
      <c r="L283" s="3" t="s">
        <v>547</v>
      </c>
      <c r="M283" s="3" t="s">
        <v>548</v>
      </c>
      <c r="N283" s="7"/>
      <c r="O283" s="3" t="s">
        <v>549</v>
      </c>
      <c r="P283" s="7"/>
      <c r="Q283" s="7"/>
      <c r="R283" s="3">
        <v>-14.6</v>
      </c>
      <c r="S283" s="3">
        <v>16.600000000000001</v>
      </c>
      <c r="X283" s="7"/>
      <c r="Y283" s="7"/>
      <c r="Z283" s="7"/>
    </row>
    <row r="284" spans="1:27" hidden="1">
      <c r="A284" s="1" t="s">
        <v>542</v>
      </c>
      <c r="B284" s="2">
        <v>-27</v>
      </c>
      <c r="C284" s="2">
        <v>-48.6</v>
      </c>
      <c r="E284" s="1">
        <v>36</v>
      </c>
      <c r="G284" s="1" t="s">
        <v>215</v>
      </c>
      <c r="H284" s="7"/>
      <c r="I284" s="1" t="s">
        <v>41</v>
      </c>
      <c r="J284" s="2" t="s">
        <v>20</v>
      </c>
      <c r="K284" s="1" t="s">
        <v>90</v>
      </c>
      <c r="L284" s="3" t="s">
        <v>550</v>
      </c>
      <c r="M284" s="3" t="s">
        <v>551</v>
      </c>
      <c r="N284" s="7"/>
      <c r="O284" s="3" t="s">
        <v>552</v>
      </c>
      <c r="P284" s="7"/>
      <c r="Q284" s="7"/>
      <c r="R284" s="3">
        <v>-16.7</v>
      </c>
      <c r="S284" s="3">
        <v>13.6</v>
      </c>
      <c r="X284" s="7"/>
      <c r="Y284" s="7"/>
      <c r="Z284" s="7"/>
    </row>
    <row r="285" spans="1:27" hidden="1">
      <c r="A285" s="1" t="s">
        <v>542</v>
      </c>
      <c r="B285" s="2">
        <v>-27</v>
      </c>
      <c r="C285" s="2">
        <v>-48.6</v>
      </c>
      <c r="E285" s="1">
        <v>37</v>
      </c>
      <c r="G285" s="1" t="s">
        <v>215</v>
      </c>
      <c r="H285" s="7"/>
      <c r="I285" s="1" t="s">
        <v>41</v>
      </c>
      <c r="J285" s="1" t="s">
        <v>42</v>
      </c>
      <c r="K285" s="1" t="s">
        <v>518</v>
      </c>
      <c r="L285" s="3" t="s">
        <v>553</v>
      </c>
      <c r="M285" s="3" t="s">
        <v>554</v>
      </c>
      <c r="N285" s="7"/>
      <c r="O285" s="3" t="s">
        <v>555</v>
      </c>
      <c r="P285" s="7"/>
      <c r="Q285" s="7"/>
      <c r="R285" s="3">
        <v>-16.3</v>
      </c>
      <c r="S285" s="3">
        <v>15</v>
      </c>
      <c r="X285" s="7"/>
      <c r="Y285" s="7"/>
      <c r="Z285" s="7"/>
    </row>
    <row r="286" spans="1:27" hidden="1">
      <c r="A286" s="1" t="s">
        <v>542</v>
      </c>
      <c r="B286" s="2">
        <v>-27</v>
      </c>
      <c r="C286" s="2">
        <v>-48.6</v>
      </c>
      <c r="E286" s="1">
        <v>45</v>
      </c>
      <c r="G286" s="1" t="s">
        <v>215</v>
      </c>
      <c r="H286" s="7"/>
      <c r="I286" s="1" t="s">
        <v>41</v>
      </c>
      <c r="J286" s="1" t="s">
        <v>33</v>
      </c>
      <c r="K286" s="1" t="s">
        <v>518</v>
      </c>
      <c r="L286" s="3" t="s">
        <v>556</v>
      </c>
      <c r="M286" s="3" t="s">
        <v>557</v>
      </c>
      <c r="N286" s="7"/>
      <c r="O286" s="3" t="s">
        <v>521</v>
      </c>
      <c r="P286" s="7"/>
      <c r="Q286" s="7"/>
      <c r="R286" s="3">
        <v>-15.7</v>
      </c>
      <c r="S286" s="3">
        <v>16.100000000000001</v>
      </c>
      <c r="X286" s="7"/>
      <c r="Y286" s="7"/>
      <c r="Z286" s="7"/>
    </row>
    <row r="287" spans="1:27" hidden="1">
      <c r="A287" s="1" t="s">
        <v>542</v>
      </c>
      <c r="B287" s="2">
        <v>-27</v>
      </c>
      <c r="C287" s="2">
        <v>-48.6</v>
      </c>
      <c r="E287" s="1">
        <v>50</v>
      </c>
      <c r="G287" s="1" t="s">
        <v>215</v>
      </c>
      <c r="H287" s="7"/>
      <c r="I287" s="1" t="s">
        <v>41</v>
      </c>
      <c r="J287" s="2" t="s">
        <v>20</v>
      </c>
      <c r="K287" s="1" t="s">
        <v>31</v>
      </c>
      <c r="L287" s="3" t="s">
        <v>558</v>
      </c>
      <c r="M287" s="3" t="s">
        <v>559</v>
      </c>
      <c r="N287" s="7"/>
      <c r="O287" s="3" t="s">
        <v>560</v>
      </c>
      <c r="P287" s="7"/>
      <c r="Q287" s="7"/>
      <c r="R287" s="3">
        <v>-14.7</v>
      </c>
      <c r="S287" s="3">
        <v>14.9</v>
      </c>
      <c r="X287" s="7"/>
      <c r="Y287" s="7"/>
      <c r="Z287" s="7"/>
    </row>
    <row r="288" spans="1:27" hidden="1">
      <c r="A288" s="1" t="s">
        <v>542</v>
      </c>
      <c r="B288" s="2">
        <v>-27</v>
      </c>
      <c r="C288" s="2">
        <v>-48.6</v>
      </c>
      <c r="E288" s="1">
        <v>59</v>
      </c>
      <c r="G288" s="1" t="s">
        <v>215</v>
      </c>
      <c r="H288" s="7"/>
      <c r="I288" s="1" t="s">
        <v>41</v>
      </c>
      <c r="J288" s="1" t="s">
        <v>33</v>
      </c>
      <c r="K288" s="1" t="s">
        <v>251</v>
      </c>
      <c r="L288" s="3" t="s">
        <v>304</v>
      </c>
      <c r="M288" s="3" t="s">
        <v>561</v>
      </c>
      <c r="N288" s="7"/>
      <c r="O288" s="3" t="s">
        <v>562</v>
      </c>
      <c r="P288" s="7"/>
      <c r="Q288" s="7"/>
      <c r="R288" s="3">
        <v>-13.7</v>
      </c>
      <c r="S288" s="3">
        <v>17.100000000000001</v>
      </c>
      <c r="X288" s="7"/>
      <c r="Y288" s="7"/>
      <c r="Z288" s="7"/>
    </row>
    <row r="289" spans="1:26" hidden="1">
      <c r="A289" s="1" t="s">
        <v>542</v>
      </c>
      <c r="B289" s="2">
        <v>-27</v>
      </c>
      <c r="C289" s="2">
        <v>-48.6</v>
      </c>
      <c r="E289" s="1">
        <v>62</v>
      </c>
      <c r="G289" s="1" t="s">
        <v>215</v>
      </c>
      <c r="H289" s="7"/>
      <c r="I289" s="1" t="s">
        <v>41</v>
      </c>
      <c r="J289" s="2" t="s">
        <v>20</v>
      </c>
      <c r="K289" s="1" t="s">
        <v>90</v>
      </c>
      <c r="L289" s="3" t="s">
        <v>563</v>
      </c>
      <c r="M289" s="3" t="s">
        <v>564</v>
      </c>
      <c r="N289" s="7"/>
      <c r="O289" s="3" t="s">
        <v>565</v>
      </c>
      <c r="P289" s="7"/>
      <c r="Q289" s="7"/>
      <c r="R289" s="3">
        <v>-14.4</v>
      </c>
      <c r="S289" s="3">
        <v>17.2</v>
      </c>
      <c r="X289" s="7"/>
      <c r="Y289" s="7"/>
      <c r="Z289" s="7"/>
    </row>
    <row r="290" spans="1:26" hidden="1">
      <c r="A290" s="1" t="s">
        <v>542</v>
      </c>
      <c r="B290" s="2">
        <v>-27</v>
      </c>
      <c r="C290" s="2">
        <v>-48.6</v>
      </c>
      <c r="E290" s="1">
        <v>73</v>
      </c>
      <c r="G290" s="1" t="s">
        <v>215</v>
      </c>
      <c r="H290" s="7"/>
      <c r="I290" s="1" t="s">
        <v>41</v>
      </c>
      <c r="J290" s="2" t="s">
        <v>20</v>
      </c>
      <c r="K290" s="1" t="s">
        <v>90</v>
      </c>
      <c r="L290" s="3" t="s">
        <v>566</v>
      </c>
      <c r="M290" s="3" t="s">
        <v>567</v>
      </c>
      <c r="N290" s="7"/>
      <c r="O290" s="3" t="s">
        <v>521</v>
      </c>
      <c r="P290" s="7"/>
      <c r="Q290" s="7"/>
      <c r="R290" s="3">
        <v>-13.8</v>
      </c>
      <c r="S290" s="3">
        <v>17.399999999999999</v>
      </c>
      <c r="X290" s="7"/>
      <c r="Y290" s="7"/>
      <c r="Z290" s="7"/>
    </row>
    <row r="291" spans="1:26" hidden="1">
      <c r="A291" s="1" t="s">
        <v>542</v>
      </c>
      <c r="B291" s="2">
        <v>-27</v>
      </c>
      <c r="C291" s="2">
        <v>-48.6</v>
      </c>
      <c r="E291" s="1">
        <v>78</v>
      </c>
      <c r="G291" s="1" t="s">
        <v>215</v>
      </c>
      <c r="H291" s="7"/>
      <c r="I291" s="1" t="s">
        <v>41</v>
      </c>
      <c r="J291" s="1" t="s">
        <v>42</v>
      </c>
      <c r="K291" s="1" t="s">
        <v>90</v>
      </c>
      <c r="L291" s="3" t="s">
        <v>568</v>
      </c>
      <c r="M291" s="3" t="s">
        <v>569</v>
      </c>
      <c r="N291" s="7"/>
      <c r="O291" s="3" t="s">
        <v>570</v>
      </c>
      <c r="P291" s="7"/>
      <c r="Q291" s="7"/>
      <c r="R291" s="3">
        <v>-14.8</v>
      </c>
      <c r="S291" s="3">
        <v>16.3</v>
      </c>
      <c r="X291" s="7"/>
      <c r="Y291" s="7"/>
      <c r="Z291" s="7"/>
    </row>
    <row r="292" spans="1:26" hidden="1">
      <c r="A292" s="1" t="s">
        <v>542</v>
      </c>
      <c r="B292" s="2">
        <v>-27</v>
      </c>
      <c r="C292" s="2">
        <v>-48.6</v>
      </c>
      <c r="E292" s="1">
        <v>89</v>
      </c>
      <c r="G292" s="1" t="s">
        <v>215</v>
      </c>
      <c r="H292" s="7"/>
      <c r="I292" s="1" t="s">
        <v>41</v>
      </c>
      <c r="J292" s="1" t="s">
        <v>42</v>
      </c>
      <c r="K292" s="1" t="s">
        <v>172</v>
      </c>
      <c r="L292" s="3" t="s">
        <v>571</v>
      </c>
      <c r="M292" s="3" t="s">
        <v>572</v>
      </c>
      <c r="N292" s="7"/>
      <c r="O292" s="3" t="s">
        <v>573</v>
      </c>
      <c r="P292" s="7"/>
      <c r="Q292" s="7"/>
      <c r="R292" s="3">
        <v>-14.6</v>
      </c>
      <c r="S292" s="3">
        <v>15.9</v>
      </c>
      <c r="X292" s="7"/>
      <c r="Y292" s="7"/>
      <c r="Z292" s="7"/>
    </row>
    <row r="293" spans="1:26" hidden="1">
      <c r="A293" s="1" t="s">
        <v>542</v>
      </c>
      <c r="B293" s="2">
        <v>-27</v>
      </c>
      <c r="C293" s="2">
        <v>-48.6</v>
      </c>
      <c r="E293" s="1">
        <v>94</v>
      </c>
      <c r="G293" s="1" t="s">
        <v>215</v>
      </c>
      <c r="H293" s="7"/>
      <c r="I293" s="1" t="s">
        <v>41</v>
      </c>
      <c r="J293" s="2" t="s">
        <v>20</v>
      </c>
      <c r="K293" s="1" t="s">
        <v>90</v>
      </c>
      <c r="L293" s="3" t="s">
        <v>574</v>
      </c>
      <c r="M293" s="3" t="s">
        <v>257</v>
      </c>
      <c r="N293" s="7"/>
      <c r="O293" s="3" t="s">
        <v>536</v>
      </c>
      <c r="P293" s="7"/>
      <c r="Q293" s="7"/>
      <c r="R293" s="3">
        <v>-15.8</v>
      </c>
      <c r="S293" s="3">
        <v>14.7</v>
      </c>
      <c r="X293" s="7"/>
      <c r="Y293" s="7"/>
      <c r="Z293" s="7"/>
    </row>
    <row r="294" spans="1:26" hidden="1">
      <c r="A294" s="1" t="s">
        <v>542</v>
      </c>
      <c r="B294" s="2">
        <v>-27</v>
      </c>
      <c r="C294" s="2">
        <v>-48.6</v>
      </c>
      <c r="E294" s="1">
        <v>108</v>
      </c>
      <c r="G294" s="1" t="s">
        <v>215</v>
      </c>
      <c r="H294" s="7"/>
      <c r="I294" s="1" t="s">
        <v>41</v>
      </c>
      <c r="J294" s="2" t="s">
        <v>20</v>
      </c>
      <c r="K294" s="1" t="s">
        <v>90</v>
      </c>
      <c r="L294" s="3" t="s">
        <v>575</v>
      </c>
      <c r="M294" s="3" t="s">
        <v>576</v>
      </c>
      <c r="N294" s="7"/>
      <c r="O294" s="3" t="s">
        <v>533</v>
      </c>
      <c r="P294" s="7"/>
      <c r="Q294" s="7"/>
      <c r="R294" s="3">
        <v>-15.1</v>
      </c>
      <c r="S294" s="3">
        <v>14.4</v>
      </c>
      <c r="X294" s="7"/>
      <c r="Y294" s="7"/>
      <c r="Z294" s="7"/>
    </row>
    <row r="295" spans="1:26" hidden="1">
      <c r="A295" s="1" t="s">
        <v>542</v>
      </c>
      <c r="B295" s="2">
        <v>-27</v>
      </c>
      <c r="C295" s="2">
        <v>-48.6</v>
      </c>
      <c r="E295" s="1">
        <v>112</v>
      </c>
      <c r="G295" s="1" t="s">
        <v>215</v>
      </c>
      <c r="H295" s="7"/>
      <c r="I295" s="1" t="s">
        <v>41</v>
      </c>
      <c r="J295" s="1" t="s">
        <v>33</v>
      </c>
      <c r="K295" s="1" t="s">
        <v>84</v>
      </c>
      <c r="L295" s="3" t="s">
        <v>577</v>
      </c>
      <c r="M295" s="3" t="s">
        <v>578</v>
      </c>
      <c r="N295" s="7"/>
      <c r="O295" s="3" t="s">
        <v>565</v>
      </c>
      <c r="P295" s="7"/>
      <c r="Q295" s="7"/>
      <c r="R295" s="3">
        <v>-12.5</v>
      </c>
      <c r="S295" s="3">
        <v>17.600000000000001</v>
      </c>
      <c r="X295" s="7"/>
      <c r="Y295" s="7"/>
      <c r="Z295" s="7"/>
    </row>
    <row r="296" spans="1:26" hidden="1">
      <c r="A296" s="1" t="s">
        <v>579</v>
      </c>
      <c r="B296" s="2">
        <v>-26.36412</v>
      </c>
      <c r="C296" s="2">
        <v>-48.664771999999999</v>
      </c>
      <c r="D296" s="1" t="s">
        <v>580</v>
      </c>
      <c r="E296" s="1" t="s">
        <v>581</v>
      </c>
      <c r="G296" s="1" t="s">
        <v>26</v>
      </c>
      <c r="I296" s="1" t="s">
        <v>20</v>
      </c>
      <c r="J296" s="2" t="s">
        <v>20</v>
      </c>
      <c r="K296" s="1" t="s">
        <v>27</v>
      </c>
      <c r="L296" s="3">
        <v>23.5</v>
      </c>
      <c r="M296" s="3">
        <v>7.8</v>
      </c>
      <c r="N296" s="3">
        <v>0.35</v>
      </c>
      <c r="O296" s="3">
        <v>3.5</v>
      </c>
      <c r="P296" s="6">
        <v>179.04761904761907</v>
      </c>
      <c r="Q296" s="6">
        <f t="shared" ref="Q296:Q311" si="21">M296/N296*32/14</f>
        <v>50.938775510204088</v>
      </c>
      <c r="R296" s="3">
        <v>-21.2</v>
      </c>
      <c r="S296" s="3">
        <v>13.1</v>
      </c>
      <c r="T296" s="3">
        <v>15.9</v>
      </c>
      <c r="U296" s="1">
        <f t="shared" ref="U296:U311" si="22">R296-1</f>
        <v>-22.2</v>
      </c>
      <c r="V296" s="1">
        <f t="shared" ref="V296:V311" si="23">S296-3.4</f>
        <v>9.6999999999999993</v>
      </c>
      <c r="W296" s="1">
        <f t="shared" ref="W296:W311" si="24">T296+1.5</f>
        <v>17.399999999999999</v>
      </c>
      <c r="X296" s="3" t="s">
        <v>11</v>
      </c>
      <c r="Y296" s="1" t="s">
        <v>12</v>
      </c>
      <c r="Z296" s="1" t="s">
        <v>888</v>
      </c>
    </row>
    <row r="297" spans="1:26" hidden="1">
      <c r="A297" s="1" t="s">
        <v>579</v>
      </c>
      <c r="B297" s="2">
        <v>-26.36412</v>
      </c>
      <c r="C297" s="2">
        <v>-48.664771999999999</v>
      </c>
      <c r="D297" s="1" t="s">
        <v>582</v>
      </c>
      <c r="E297" s="1" t="s">
        <v>583</v>
      </c>
      <c r="G297" s="1" t="s">
        <v>26</v>
      </c>
      <c r="I297" s="1" t="s">
        <v>20</v>
      </c>
      <c r="J297" s="2" t="s">
        <v>20</v>
      </c>
      <c r="K297" s="1" t="s">
        <v>584</v>
      </c>
      <c r="L297" s="3">
        <v>34.700000000000003</v>
      </c>
      <c r="M297" s="3">
        <v>12.3</v>
      </c>
      <c r="N297" s="3">
        <v>0.26</v>
      </c>
      <c r="O297" s="3">
        <v>3.3</v>
      </c>
      <c r="P297" s="6">
        <v>355.89743589743597</v>
      </c>
      <c r="Q297" s="6">
        <f t="shared" si="21"/>
        <v>108.13186813186813</v>
      </c>
      <c r="R297" s="3">
        <v>-11</v>
      </c>
      <c r="S297" s="3">
        <v>14.6</v>
      </c>
      <c r="T297" s="3">
        <v>9</v>
      </c>
      <c r="U297" s="1">
        <f t="shared" si="22"/>
        <v>-12</v>
      </c>
      <c r="V297" s="1">
        <f t="shared" si="23"/>
        <v>11.2</v>
      </c>
      <c r="W297" s="1">
        <f t="shared" si="24"/>
        <v>10.5</v>
      </c>
      <c r="X297" s="3" t="s">
        <v>11</v>
      </c>
      <c r="Y297" s="1" t="s">
        <v>12</v>
      </c>
      <c r="Z297" s="1" t="s">
        <v>888</v>
      </c>
    </row>
    <row r="298" spans="1:26" hidden="1">
      <c r="A298" s="1" t="s">
        <v>579</v>
      </c>
      <c r="B298" s="2">
        <v>-26.36412</v>
      </c>
      <c r="C298" s="2">
        <v>-48.664771999999999</v>
      </c>
      <c r="D298" s="1" t="s">
        <v>585</v>
      </c>
      <c r="E298" s="1" t="s">
        <v>586</v>
      </c>
      <c r="G298" s="1" t="s">
        <v>26</v>
      </c>
      <c r="I298" s="1" t="s">
        <v>20</v>
      </c>
      <c r="J298" s="2" t="s">
        <v>20</v>
      </c>
      <c r="K298" s="1" t="s">
        <v>27</v>
      </c>
      <c r="L298" s="3">
        <v>32.6</v>
      </c>
      <c r="M298" s="3">
        <v>11.4</v>
      </c>
      <c r="N298" s="3">
        <v>0.2</v>
      </c>
      <c r="O298" s="3">
        <v>3.4</v>
      </c>
      <c r="P298" s="6">
        <v>434.66666666666669</v>
      </c>
      <c r="Q298" s="6">
        <f t="shared" si="21"/>
        <v>130.28571428571428</v>
      </c>
      <c r="R298" s="3">
        <v>-21.1</v>
      </c>
      <c r="S298" s="3">
        <v>10.9</v>
      </c>
      <c r="T298" s="3">
        <v>11.5</v>
      </c>
      <c r="U298" s="1">
        <f t="shared" si="22"/>
        <v>-22.1</v>
      </c>
      <c r="V298" s="1">
        <f t="shared" si="23"/>
        <v>7.5</v>
      </c>
      <c r="W298" s="1">
        <f t="shared" si="24"/>
        <v>13</v>
      </c>
      <c r="X298" s="3" t="s">
        <v>11</v>
      </c>
      <c r="Y298" s="1" t="s">
        <v>12</v>
      </c>
      <c r="Z298" s="1" t="s">
        <v>888</v>
      </c>
    </row>
    <row r="299" spans="1:26" hidden="1">
      <c r="A299" s="1" t="s">
        <v>579</v>
      </c>
      <c r="B299" s="2">
        <v>-26.36412</v>
      </c>
      <c r="C299" s="2">
        <v>-48.664771999999999</v>
      </c>
      <c r="D299" s="1" t="s">
        <v>587</v>
      </c>
      <c r="E299" s="1" t="s">
        <v>588</v>
      </c>
      <c r="G299" s="1" t="s">
        <v>26</v>
      </c>
      <c r="I299" s="1" t="s">
        <v>20</v>
      </c>
      <c r="J299" s="2" t="s">
        <v>20</v>
      </c>
      <c r="K299" s="1" t="s">
        <v>27</v>
      </c>
      <c r="L299" s="3">
        <v>41.2</v>
      </c>
      <c r="M299" s="3">
        <v>14.4</v>
      </c>
      <c r="N299" s="3">
        <v>0.2</v>
      </c>
      <c r="O299" s="3">
        <v>3.3</v>
      </c>
      <c r="P299" s="6">
        <v>549.33333333333337</v>
      </c>
      <c r="Q299" s="6">
        <f t="shared" si="21"/>
        <v>164.57142857142858</v>
      </c>
      <c r="R299" s="3">
        <v>-10.8</v>
      </c>
      <c r="S299" s="3">
        <v>15.1</v>
      </c>
      <c r="T299" s="3">
        <v>9.1</v>
      </c>
      <c r="U299" s="1">
        <f t="shared" si="22"/>
        <v>-11.8</v>
      </c>
      <c r="V299" s="1">
        <f t="shared" si="23"/>
        <v>11.7</v>
      </c>
      <c r="W299" s="1">
        <f t="shared" si="24"/>
        <v>10.6</v>
      </c>
      <c r="X299" s="3" t="s">
        <v>11</v>
      </c>
      <c r="Y299" s="1" t="s">
        <v>12</v>
      </c>
      <c r="Z299" s="1" t="s">
        <v>888</v>
      </c>
    </row>
    <row r="300" spans="1:26" hidden="1">
      <c r="A300" s="1" t="s">
        <v>886</v>
      </c>
      <c r="B300" s="2">
        <v>-25.484999999999999</v>
      </c>
      <c r="C300" s="2">
        <v>-48.321899999999999</v>
      </c>
      <c r="D300" s="1" t="s">
        <v>589</v>
      </c>
      <c r="E300" s="1">
        <v>1880</v>
      </c>
      <c r="G300" s="1" t="s">
        <v>26</v>
      </c>
      <c r="I300" s="1" t="s">
        <v>20</v>
      </c>
      <c r="J300" s="2" t="s">
        <v>20</v>
      </c>
      <c r="K300" s="2" t="s">
        <v>20</v>
      </c>
      <c r="L300" s="3">
        <v>40.9</v>
      </c>
      <c r="M300" s="3">
        <v>14.6</v>
      </c>
      <c r="N300" s="3">
        <v>0.22</v>
      </c>
      <c r="O300" s="3">
        <v>3.3</v>
      </c>
      <c r="P300" s="6">
        <v>495.75757575757575</v>
      </c>
      <c r="Q300" s="6">
        <f t="shared" si="21"/>
        <v>151.68831168831167</v>
      </c>
      <c r="R300" s="3">
        <v>-18.5</v>
      </c>
      <c r="S300" s="3">
        <v>13.9</v>
      </c>
      <c r="T300" s="3">
        <v>11</v>
      </c>
      <c r="U300" s="1">
        <f t="shared" si="22"/>
        <v>-19.5</v>
      </c>
      <c r="V300" s="1">
        <f t="shared" si="23"/>
        <v>10.5</v>
      </c>
      <c r="W300" s="1">
        <f t="shared" si="24"/>
        <v>12.5</v>
      </c>
      <c r="X300" s="3" t="s">
        <v>11</v>
      </c>
      <c r="Y300" s="1" t="s">
        <v>12</v>
      </c>
      <c r="Z300" s="1" t="s">
        <v>888</v>
      </c>
    </row>
    <row r="301" spans="1:26" hidden="1">
      <c r="A301" s="1" t="s">
        <v>886</v>
      </c>
      <c r="B301" s="2">
        <v>-25.484999999999999</v>
      </c>
      <c r="C301" s="2">
        <v>-48.321899999999999</v>
      </c>
      <c r="D301" s="1" t="s">
        <v>590</v>
      </c>
      <c r="E301" s="1" t="s">
        <v>591</v>
      </c>
      <c r="G301" s="1" t="s">
        <v>26</v>
      </c>
      <c r="I301" s="1" t="s">
        <v>20</v>
      </c>
      <c r="J301" s="2" t="s">
        <v>20</v>
      </c>
      <c r="K301" s="1" t="s">
        <v>31</v>
      </c>
      <c r="L301" s="3">
        <v>43.3</v>
      </c>
      <c r="M301" s="3">
        <v>14.2</v>
      </c>
      <c r="N301" s="3">
        <v>0.22</v>
      </c>
      <c r="O301" s="3">
        <v>3.6</v>
      </c>
      <c r="P301" s="6">
        <v>524.84848484848487</v>
      </c>
      <c r="Q301" s="6">
        <f t="shared" si="21"/>
        <v>147.53246753246754</v>
      </c>
      <c r="R301" s="3">
        <v>-11</v>
      </c>
      <c r="S301" s="3">
        <v>15</v>
      </c>
      <c r="T301" s="3">
        <v>9</v>
      </c>
      <c r="U301" s="1">
        <f t="shared" si="22"/>
        <v>-12</v>
      </c>
      <c r="V301" s="1">
        <f t="shared" si="23"/>
        <v>11.6</v>
      </c>
      <c r="W301" s="1">
        <f t="shared" si="24"/>
        <v>10.5</v>
      </c>
      <c r="X301" s="3" t="s">
        <v>11</v>
      </c>
      <c r="Y301" s="1" t="s">
        <v>12</v>
      </c>
      <c r="Z301" s="1" t="s">
        <v>888</v>
      </c>
    </row>
    <row r="302" spans="1:26" hidden="1">
      <c r="A302" s="1" t="s">
        <v>886</v>
      </c>
      <c r="B302" s="2">
        <v>-25.484999999999999</v>
      </c>
      <c r="C302" s="2">
        <v>-48.321899999999999</v>
      </c>
      <c r="D302" s="1" t="s">
        <v>592</v>
      </c>
      <c r="E302" s="1" t="s">
        <v>593</v>
      </c>
      <c r="G302" s="1" t="s">
        <v>26</v>
      </c>
      <c r="I302" s="1" t="s">
        <v>20</v>
      </c>
      <c r="J302" s="2" t="s">
        <v>20</v>
      </c>
      <c r="K302" s="2" t="s">
        <v>20</v>
      </c>
      <c r="L302" s="3">
        <v>35.9</v>
      </c>
      <c r="M302" s="3">
        <v>12.8</v>
      </c>
      <c r="N302" s="3">
        <v>0.18</v>
      </c>
      <c r="O302" s="3">
        <v>3.3</v>
      </c>
      <c r="P302" s="6">
        <v>531.85185185185185</v>
      </c>
      <c r="Q302" s="6">
        <f t="shared" si="21"/>
        <v>162.53968253968256</v>
      </c>
      <c r="R302" s="3">
        <v>-10.7</v>
      </c>
      <c r="S302" s="3">
        <v>15.4</v>
      </c>
      <c r="T302" s="3">
        <v>9.3000000000000007</v>
      </c>
      <c r="U302" s="1">
        <f t="shared" si="22"/>
        <v>-11.7</v>
      </c>
      <c r="V302" s="1">
        <f t="shared" si="23"/>
        <v>12</v>
      </c>
      <c r="W302" s="1">
        <f t="shared" si="24"/>
        <v>10.8</v>
      </c>
      <c r="X302" s="3" t="s">
        <v>11</v>
      </c>
      <c r="Y302" s="1" t="s">
        <v>12</v>
      </c>
      <c r="Z302" s="1" t="s">
        <v>888</v>
      </c>
    </row>
    <row r="303" spans="1:26" hidden="1">
      <c r="A303" s="1" t="s">
        <v>886</v>
      </c>
      <c r="B303" s="2">
        <v>-25.484999999999999</v>
      </c>
      <c r="C303" s="2">
        <v>-48.321899999999999</v>
      </c>
      <c r="D303" s="1" t="s">
        <v>594</v>
      </c>
      <c r="E303" s="1" t="s">
        <v>595</v>
      </c>
      <c r="G303" s="1" t="s">
        <v>26</v>
      </c>
      <c r="I303" s="1" t="s">
        <v>20</v>
      </c>
      <c r="J303" s="2" t="s">
        <v>20</v>
      </c>
      <c r="K303" s="2" t="s">
        <v>20</v>
      </c>
      <c r="L303" s="3">
        <v>43</v>
      </c>
      <c r="M303" s="3">
        <v>14.9</v>
      </c>
      <c r="N303" s="3">
        <v>0.2</v>
      </c>
      <c r="O303" s="3">
        <v>3.4</v>
      </c>
      <c r="P303" s="6">
        <v>573.33333333333337</v>
      </c>
      <c r="Q303" s="6">
        <f t="shared" si="21"/>
        <v>170.28571428571428</v>
      </c>
      <c r="R303" s="3">
        <v>-9.9</v>
      </c>
      <c r="S303" s="3">
        <v>14.5</v>
      </c>
      <c r="T303" s="3">
        <v>9.1999999999999993</v>
      </c>
      <c r="U303" s="1">
        <f t="shared" si="22"/>
        <v>-10.9</v>
      </c>
      <c r="V303" s="1">
        <f t="shared" si="23"/>
        <v>11.1</v>
      </c>
      <c r="W303" s="1">
        <f t="shared" si="24"/>
        <v>10.7</v>
      </c>
      <c r="X303" s="3" t="s">
        <v>11</v>
      </c>
      <c r="Y303" s="1" t="s">
        <v>12</v>
      </c>
      <c r="Z303" s="1" t="s">
        <v>888</v>
      </c>
    </row>
    <row r="304" spans="1:26" hidden="1">
      <c r="A304" s="1" t="s">
        <v>886</v>
      </c>
      <c r="B304" s="2">
        <v>-25.484999999999999</v>
      </c>
      <c r="C304" s="2">
        <v>-48.321899999999999</v>
      </c>
      <c r="D304" s="1" t="s">
        <v>596</v>
      </c>
      <c r="E304" s="1" t="s">
        <v>597</v>
      </c>
      <c r="G304" s="1" t="s">
        <v>26</v>
      </c>
      <c r="I304" s="1" t="s">
        <v>20</v>
      </c>
      <c r="J304" s="2" t="s">
        <v>20</v>
      </c>
      <c r="K304" s="2" t="s">
        <v>20</v>
      </c>
      <c r="L304" s="3">
        <v>27.9</v>
      </c>
      <c r="M304" s="3">
        <v>10</v>
      </c>
      <c r="N304" s="3">
        <v>0.2</v>
      </c>
      <c r="O304" s="3">
        <v>3.2</v>
      </c>
      <c r="P304" s="6">
        <v>371.99999999999994</v>
      </c>
      <c r="Q304" s="6">
        <f t="shared" si="21"/>
        <v>114.28571428571429</v>
      </c>
      <c r="R304" s="3">
        <v>-12.3</v>
      </c>
      <c r="S304" s="3">
        <v>15.5</v>
      </c>
      <c r="T304" s="3">
        <v>6.8</v>
      </c>
      <c r="U304" s="1">
        <f t="shared" si="22"/>
        <v>-13.3</v>
      </c>
      <c r="V304" s="1">
        <f t="shared" si="23"/>
        <v>12.1</v>
      </c>
      <c r="W304" s="1">
        <f t="shared" si="24"/>
        <v>8.3000000000000007</v>
      </c>
      <c r="X304" s="3" t="s">
        <v>11</v>
      </c>
      <c r="Y304" s="1" t="s">
        <v>12</v>
      </c>
      <c r="Z304" s="1" t="s">
        <v>888</v>
      </c>
    </row>
    <row r="305" spans="1:27" s="7" customFormat="1" hidden="1">
      <c r="A305" s="1" t="s">
        <v>886</v>
      </c>
      <c r="B305" s="2">
        <v>-25.484999999999999</v>
      </c>
      <c r="C305" s="2">
        <v>-48.321899999999999</v>
      </c>
      <c r="D305" s="1" t="s">
        <v>598</v>
      </c>
      <c r="E305" s="1">
        <v>1780</v>
      </c>
      <c r="F305" s="1"/>
      <c r="G305" s="1" t="s">
        <v>26</v>
      </c>
      <c r="H305" s="1"/>
      <c r="I305" s="1" t="s">
        <v>20</v>
      </c>
      <c r="J305" s="2" t="s">
        <v>20</v>
      </c>
      <c r="K305" s="2" t="s">
        <v>20</v>
      </c>
      <c r="L305" s="3">
        <v>22.7</v>
      </c>
      <c r="M305" s="3">
        <v>8.1999999999999993</v>
      </c>
      <c r="N305" s="3">
        <v>0.18</v>
      </c>
      <c r="O305" s="3">
        <v>3.2</v>
      </c>
      <c r="P305" s="6">
        <v>336.2962962962963</v>
      </c>
      <c r="Q305" s="6">
        <f t="shared" si="21"/>
        <v>104.12698412698411</v>
      </c>
      <c r="R305" s="3">
        <v>-12.8</v>
      </c>
      <c r="S305" s="3">
        <v>15.1</v>
      </c>
      <c r="T305" s="3">
        <v>8.5</v>
      </c>
      <c r="U305" s="1">
        <f t="shared" si="22"/>
        <v>-13.8</v>
      </c>
      <c r="V305" s="1">
        <f t="shared" si="23"/>
        <v>11.7</v>
      </c>
      <c r="W305" s="1">
        <f t="shared" si="24"/>
        <v>10</v>
      </c>
      <c r="X305" s="3" t="s">
        <v>11</v>
      </c>
      <c r="Y305" s="1" t="s">
        <v>12</v>
      </c>
      <c r="Z305" s="1" t="s">
        <v>888</v>
      </c>
      <c r="AA305" s="1"/>
    </row>
    <row r="306" spans="1:27" hidden="1">
      <c r="A306" s="1" t="s">
        <v>886</v>
      </c>
      <c r="B306" s="2">
        <v>-25.484999999999999</v>
      </c>
      <c r="C306" s="2">
        <v>-48.321899999999999</v>
      </c>
      <c r="D306" s="1" t="s">
        <v>599</v>
      </c>
      <c r="E306" s="1" t="s">
        <v>600</v>
      </c>
      <c r="G306" s="1" t="s">
        <v>26</v>
      </c>
      <c r="I306" s="1" t="s">
        <v>20</v>
      </c>
      <c r="J306" s="2" t="s">
        <v>20</v>
      </c>
      <c r="K306" s="2" t="s">
        <v>20</v>
      </c>
      <c r="L306" s="3">
        <v>36.200000000000003</v>
      </c>
      <c r="M306" s="3">
        <v>13.4</v>
      </c>
      <c r="N306" s="3">
        <v>0.18</v>
      </c>
      <c r="O306" s="3">
        <v>3.1</v>
      </c>
      <c r="P306" s="6">
        <v>536.29629629629642</v>
      </c>
      <c r="Q306" s="6">
        <f t="shared" si="21"/>
        <v>170.15873015873015</v>
      </c>
      <c r="R306" s="3">
        <v>-12.3</v>
      </c>
      <c r="S306" s="3">
        <v>15.2</v>
      </c>
      <c r="T306" s="3">
        <v>8.9</v>
      </c>
      <c r="U306" s="1">
        <f t="shared" si="22"/>
        <v>-13.3</v>
      </c>
      <c r="V306" s="1">
        <f t="shared" si="23"/>
        <v>11.799999999999999</v>
      </c>
      <c r="W306" s="1">
        <f t="shared" si="24"/>
        <v>10.4</v>
      </c>
      <c r="X306" s="3" t="s">
        <v>11</v>
      </c>
      <c r="Y306" s="1" t="s">
        <v>12</v>
      </c>
      <c r="Z306" s="1" t="s">
        <v>888</v>
      </c>
    </row>
    <row r="307" spans="1:27" hidden="1">
      <c r="A307" s="1" t="s">
        <v>886</v>
      </c>
      <c r="B307" s="2">
        <v>-25.484999999999999</v>
      </c>
      <c r="C307" s="2">
        <v>-48.321899999999999</v>
      </c>
      <c r="D307" s="1" t="s">
        <v>601</v>
      </c>
      <c r="E307" s="1" t="s">
        <v>602</v>
      </c>
      <c r="G307" s="1" t="s">
        <v>26</v>
      </c>
      <c r="I307" s="1" t="s">
        <v>20</v>
      </c>
      <c r="J307" s="2" t="s">
        <v>20</v>
      </c>
      <c r="K307" s="2" t="s">
        <v>20</v>
      </c>
      <c r="L307" s="3">
        <v>17.3</v>
      </c>
      <c r="M307" s="3">
        <v>6.3</v>
      </c>
      <c r="N307" s="3">
        <v>0.16</v>
      </c>
      <c r="O307" s="3">
        <v>3.2</v>
      </c>
      <c r="P307" s="6">
        <v>288.33333333333331</v>
      </c>
      <c r="Q307" s="6">
        <f t="shared" si="21"/>
        <v>90</v>
      </c>
      <c r="R307" s="3">
        <v>-12.8</v>
      </c>
      <c r="S307" s="3">
        <v>14.8</v>
      </c>
      <c r="T307" s="3">
        <v>8.9</v>
      </c>
      <c r="U307" s="1">
        <f t="shared" si="22"/>
        <v>-13.8</v>
      </c>
      <c r="V307" s="1">
        <f t="shared" si="23"/>
        <v>11.4</v>
      </c>
      <c r="W307" s="1">
        <f t="shared" si="24"/>
        <v>10.4</v>
      </c>
      <c r="X307" s="3" t="s">
        <v>11</v>
      </c>
      <c r="Y307" s="1" t="s">
        <v>12</v>
      </c>
      <c r="Z307" s="1" t="s">
        <v>888</v>
      </c>
    </row>
    <row r="308" spans="1:27" hidden="1">
      <c r="A308" s="1" t="s">
        <v>886</v>
      </c>
      <c r="B308" s="2">
        <v>-25.484999999999999</v>
      </c>
      <c r="C308" s="2">
        <v>-48.321899999999999</v>
      </c>
      <c r="D308" s="1" t="s">
        <v>603</v>
      </c>
      <c r="E308" s="1">
        <v>1862</v>
      </c>
      <c r="G308" s="1" t="s">
        <v>26</v>
      </c>
      <c r="I308" s="1" t="s">
        <v>20</v>
      </c>
      <c r="J308" s="2" t="s">
        <v>20</v>
      </c>
      <c r="K308" s="1" t="s">
        <v>233</v>
      </c>
      <c r="L308" s="3">
        <v>28.7</v>
      </c>
      <c r="M308" s="3">
        <v>10</v>
      </c>
      <c r="N308" s="3">
        <v>0.15</v>
      </c>
      <c r="O308" s="3">
        <v>3.3</v>
      </c>
      <c r="P308" s="6">
        <v>510.22222222222223</v>
      </c>
      <c r="Q308" s="6">
        <f t="shared" si="21"/>
        <v>152.38095238095238</v>
      </c>
      <c r="R308" s="3">
        <v>-12.3</v>
      </c>
      <c r="S308" s="3">
        <v>15.1</v>
      </c>
      <c r="T308" s="3">
        <v>9.3000000000000007</v>
      </c>
      <c r="U308" s="1">
        <f t="shared" si="22"/>
        <v>-13.3</v>
      </c>
      <c r="V308" s="1">
        <f t="shared" si="23"/>
        <v>11.7</v>
      </c>
      <c r="W308" s="1">
        <f t="shared" si="24"/>
        <v>10.8</v>
      </c>
      <c r="X308" s="3" t="s">
        <v>11</v>
      </c>
      <c r="Y308" s="1" t="s">
        <v>12</v>
      </c>
      <c r="Z308" s="1" t="s">
        <v>888</v>
      </c>
    </row>
    <row r="309" spans="1:27" s="7" customFormat="1" hidden="1">
      <c r="A309" s="1" t="s">
        <v>886</v>
      </c>
      <c r="B309" s="2">
        <v>-25.484999999999999</v>
      </c>
      <c r="C309" s="2">
        <v>-48.321899999999999</v>
      </c>
      <c r="D309" s="1" t="s">
        <v>604</v>
      </c>
      <c r="E309" s="1" t="s">
        <v>605</v>
      </c>
      <c r="F309" s="1"/>
      <c r="G309" s="1" t="s">
        <v>26</v>
      </c>
      <c r="H309" s="1"/>
      <c r="I309" s="1" t="s">
        <v>20</v>
      </c>
      <c r="J309" s="2" t="s">
        <v>20</v>
      </c>
      <c r="K309" s="2" t="s">
        <v>20</v>
      </c>
      <c r="L309" s="3">
        <v>27.6</v>
      </c>
      <c r="M309" s="3">
        <v>9.8000000000000007</v>
      </c>
      <c r="N309" s="3">
        <v>0.2</v>
      </c>
      <c r="O309" s="3">
        <v>3.3</v>
      </c>
      <c r="P309" s="6">
        <v>368</v>
      </c>
      <c r="Q309" s="6">
        <f t="shared" si="21"/>
        <v>112</v>
      </c>
      <c r="R309" s="3">
        <v>-13.5</v>
      </c>
      <c r="S309" s="3">
        <v>14</v>
      </c>
      <c r="T309" s="3">
        <v>8.9</v>
      </c>
      <c r="U309" s="1">
        <f t="shared" si="22"/>
        <v>-14.5</v>
      </c>
      <c r="V309" s="1">
        <f t="shared" si="23"/>
        <v>10.6</v>
      </c>
      <c r="W309" s="1">
        <f t="shared" si="24"/>
        <v>10.4</v>
      </c>
      <c r="X309" s="3" t="s">
        <v>11</v>
      </c>
      <c r="Y309" s="1" t="s">
        <v>12</v>
      </c>
      <c r="Z309" s="1" t="s">
        <v>888</v>
      </c>
      <c r="AA309" s="1"/>
    </row>
    <row r="310" spans="1:27" s="7" customFormat="1" hidden="1">
      <c r="A310" s="1" t="s">
        <v>886</v>
      </c>
      <c r="B310" s="2">
        <v>-25.484999999999999</v>
      </c>
      <c r="C310" s="2">
        <v>-48.321899999999999</v>
      </c>
      <c r="D310" s="1" t="s">
        <v>606</v>
      </c>
      <c r="E310" s="1" t="s">
        <v>607</v>
      </c>
      <c r="F310" s="1"/>
      <c r="G310" s="1" t="s">
        <v>26</v>
      </c>
      <c r="H310" s="1"/>
      <c r="I310" s="1" t="s">
        <v>20</v>
      </c>
      <c r="J310" s="2" t="s">
        <v>20</v>
      </c>
      <c r="K310" s="2" t="s">
        <v>20</v>
      </c>
      <c r="L310" s="3">
        <v>35</v>
      </c>
      <c r="M310" s="3">
        <v>12.8</v>
      </c>
      <c r="N310" s="3">
        <v>0.2</v>
      </c>
      <c r="O310" s="3">
        <v>3.2</v>
      </c>
      <c r="P310" s="6">
        <v>466.66666666666669</v>
      </c>
      <c r="Q310" s="6">
        <f t="shared" si="21"/>
        <v>146.28571428571428</v>
      </c>
      <c r="R310" s="3">
        <v>-20.6</v>
      </c>
      <c r="S310" s="3">
        <v>14.2</v>
      </c>
      <c r="T310" s="3">
        <v>11.3</v>
      </c>
      <c r="U310" s="1">
        <f t="shared" si="22"/>
        <v>-21.6</v>
      </c>
      <c r="V310" s="1">
        <f t="shared" si="23"/>
        <v>10.799999999999999</v>
      </c>
      <c r="W310" s="1">
        <f t="shared" si="24"/>
        <v>12.8</v>
      </c>
      <c r="X310" s="3" t="s">
        <v>11</v>
      </c>
      <c r="Y310" s="1" t="s">
        <v>12</v>
      </c>
      <c r="Z310" s="1" t="s">
        <v>888</v>
      </c>
      <c r="AA310" s="1"/>
    </row>
    <row r="311" spans="1:27" s="7" customFormat="1" hidden="1">
      <c r="A311" s="1" t="s">
        <v>886</v>
      </c>
      <c r="B311" s="2">
        <v>-25.484999999999999</v>
      </c>
      <c r="C311" s="2">
        <v>-48.321899999999999</v>
      </c>
      <c r="D311" s="1" t="s">
        <v>608</v>
      </c>
      <c r="E311" s="1" t="s">
        <v>609</v>
      </c>
      <c r="F311" s="1"/>
      <c r="G311" s="1" t="s">
        <v>26</v>
      </c>
      <c r="H311" s="1"/>
      <c r="I311" s="1" t="s">
        <v>20</v>
      </c>
      <c r="J311" s="2" t="s">
        <v>20</v>
      </c>
      <c r="K311" s="2" t="s">
        <v>20</v>
      </c>
      <c r="L311" s="3">
        <v>34.6</v>
      </c>
      <c r="M311" s="3">
        <v>12.6</v>
      </c>
      <c r="N311" s="3">
        <v>0.19</v>
      </c>
      <c r="O311" s="3">
        <v>3.2</v>
      </c>
      <c r="P311" s="6">
        <v>485.61403508771929</v>
      </c>
      <c r="Q311" s="6">
        <f t="shared" si="21"/>
        <v>151.57894736842104</v>
      </c>
      <c r="R311" s="3">
        <v>-19.2</v>
      </c>
      <c r="S311" s="3">
        <v>12</v>
      </c>
      <c r="T311" s="3">
        <v>10.199999999999999</v>
      </c>
      <c r="U311" s="1">
        <f t="shared" si="22"/>
        <v>-20.2</v>
      </c>
      <c r="V311" s="1">
        <f t="shared" si="23"/>
        <v>8.6</v>
      </c>
      <c r="W311" s="1">
        <f t="shared" si="24"/>
        <v>11.7</v>
      </c>
      <c r="X311" s="3" t="s">
        <v>11</v>
      </c>
      <c r="Y311" s="1" t="s">
        <v>12</v>
      </c>
      <c r="Z311" s="1" t="s">
        <v>888</v>
      </c>
      <c r="AA311" s="1"/>
    </row>
    <row r="312" spans="1:27">
      <c r="A312" s="1" t="s">
        <v>6</v>
      </c>
      <c r="B312" s="2">
        <v>-24.274000000000001</v>
      </c>
      <c r="C312" s="2">
        <v>-47.3947</v>
      </c>
      <c r="I312" s="2"/>
      <c r="L312" s="3"/>
      <c r="M312" s="3"/>
      <c r="N312" s="3"/>
      <c r="O312" s="3"/>
      <c r="P312" s="6"/>
      <c r="Q312" s="6"/>
      <c r="R312" s="3"/>
      <c r="S312" s="3"/>
      <c r="T312" s="3"/>
      <c r="X312" s="3"/>
    </row>
    <row r="313" spans="1:27">
      <c r="A313" s="1" t="s">
        <v>6</v>
      </c>
      <c r="B313" s="2">
        <v>-24.274000000000001</v>
      </c>
      <c r="C313" s="2">
        <v>-47.3947</v>
      </c>
      <c r="I313" s="2"/>
      <c r="J313" s="2"/>
      <c r="L313" s="3"/>
      <c r="M313" s="3"/>
      <c r="N313" s="3"/>
      <c r="O313" s="3"/>
      <c r="P313" s="6"/>
      <c r="Q313" s="6"/>
      <c r="R313" s="3"/>
      <c r="S313" s="3"/>
      <c r="T313" s="3"/>
      <c r="X313" s="3"/>
    </row>
    <row r="314" spans="1:27">
      <c r="A314" s="1" t="s">
        <v>6</v>
      </c>
      <c r="B314" s="2">
        <v>-24.274000000000001</v>
      </c>
      <c r="C314" s="2">
        <v>-47.3947</v>
      </c>
      <c r="L314" s="3"/>
      <c r="M314" s="3"/>
      <c r="N314" s="3"/>
      <c r="O314" s="3"/>
      <c r="P314" s="6"/>
      <c r="Q314" s="6"/>
      <c r="R314" s="3"/>
      <c r="S314" s="3"/>
      <c r="T314" s="3"/>
      <c r="X314" s="3"/>
    </row>
    <row r="315" spans="1:27">
      <c r="A315" s="1" t="s">
        <v>6</v>
      </c>
      <c r="B315" s="2">
        <v>-24.274000000000001</v>
      </c>
      <c r="C315" s="2">
        <v>-47.3947</v>
      </c>
      <c r="I315" s="2"/>
      <c r="J315" s="2"/>
      <c r="L315" s="3"/>
      <c r="M315" s="3"/>
      <c r="N315" s="3"/>
      <c r="O315" s="3"/>
      <c r="P315" s="6"/>
      <c r="Q315" s="6"/>
      <c r="R315" s="3"/>
      <c r="S315" s="3"/>
      <c r="T315" s="3"/>
      <c r="X315" s="3"/>
    </row>
    <row r="316" spans="1:27">
      <c r="A316" s="1" t="s">
        <v>3</v>
      </c>
      <c r="B316" s="2">
        <v>-26.3143711812771</v>
      </c>
      <c r="C316" s="2">
        <v>-48.8271549979779</v>
      </c>
      <c r="L316" s="3"/>
      <c r="M316" s="3"/>
      <c r="N316" s="3"/>
      <c r="O316" s="3"/>
      <c r="P316" s="6"/>
      <c r="Q316" s="6"/>
      <c r="R316" s="3"/>
      <c r="S316" s="3"/>
      <c r="T316" s="3"/>
      <c r="X316" s="3"/>
    </row>
    <row r="317" spans="1:27">
      <c r="A317" s="1" t="s">
        <v>3</v>
      </c>
      <c r="B317" s="2">
        <v>-26.3143711812771</v>
      </c>
      <c r="C317" s="2">
        <v>-48.8271549979779</v>
      </c>
      <c r="I317" s="2"/>
      <c r="J317" s="2"/>
      <c r="L317" s="3"/>
      <c r="M317" s="3"/>
      <c r="N317" s="3"/>
      <c r="O317" s="3"/>
      <c r="P317" s="6"/>
      <c r="Q317" s="6"/>
      <c r="R317" s="3"/>
      <c r="S317" s="3"/>
      <c r="T317" s="3"/>
      <c r="X317" s="3"/>
    </row>
    <row r="318" spans="1:27">
      <c r="A318" s="1" t="s">
        <v>3</v>
      </c>
      <c r="B318" s="2">
        <v>-26.3143711812771</v>
      </c>
      <c r="C318" s="2">
        <v>-48.8271549979779</v>
      </c>
      <c r="I318" s="2"/>
      <c r="J318" s="2"/>
      <c r="L318" s="3"/>
      <c r="M318" s="3"/>
      <c r="N318" s="3"/>
      <c r="O318" s="3"/>
      <c r="P318" s="6"/>
      <c r="Q318" s="6"/>
      <c r="R318" s="3"/>
      <c r="S318" s="3"/>
      <c r="T318" s="3"/>
      <c r="X318" s="3"/>
    </row>
    <row r="319" spans="1:27">
      <c r="A319" s="1" t="s">
        <v>3</v>
      </c>
      <c r="B319" s="2">
        <v>-26.3143711812771</v>
      </c>
      <c r="C319" s="2">
        <v>-48.8271549979779</v>
      </c>
      <c r="L319" s="3"/>
      <c r="M319" s="3"/>
      <c r="N319" s="3"/>
      <c r="O319" s="3"/>
      <c r="P319" s="6"/>
      <c r="Q319" s="6"/>
      <c r="R319" s="3"/>
      <c r="S319" s="3"/>
      <c r="T319" s="3"/>
      <c r="X319" s="3"/>
    </row>
    <row r="320" spans="1:27">
      <c r="A320" s="1" t="s">
        <v>3</v>
      </c>
      <c r="B320" s="2">
        <v>-26.3143711812771</v>
      </c>
      <c r="C320" s="2">
        <v>-48.8271549979779</v>
      </c>
      <c r="L320" s="3"/>
      <c r="M320" s="3"/>
      <c r="N320" s="3"/>
      <c r="O320" s="3"/>
      <c r="P320" s="6"/>
      <c r="Q320" s="6"/>
      <c r="R320" s="3"/>
      <c r="S320" s="3"/>
      <c r="T320" s="3"/>
      <c r="X320" s="3"/>
    </row>
    <row r="321" spans="1:27">
      <c r="A321" s="1" t="s">
        <v>3</v>
      </c>
      <c r="B321" s="2">
        <v>-26.3143711812771</v>
      </c>
      <c r="C321" s="2">
        <v>-48.8271549979779</v>
      </c>
      <c r="I321" s="2"/>
      <c r="J321" s="2"/>
      <c r="L321" s="3"/>
      <c r="M321" s="3"/>
      <c r="N321" s="3"/>
      <c r="O321" s="3"/>
      <c r="P321" s="6"/>
      <c r="Q321" s="6"/>
      <c r="R321" s="3"/>
      <c r="S321" s="3"/>
      <c r="T321" s="3"/>
      <c r="X321" s="3"/>
    </row>
    <row r="322" spans="1:27">
      <c r="A322" s="1" t="s">
        <v>3</v>
      </c>
      <c r="B322" s="2">
        <v>-26.3143711812771</v>
      </c>
      <c r="C322" s="2">
        <v>-48.8271549979779</v>
      </c>
      <c r="L322" s="3"/>
      <c r="M322" s="3"/>
      <c r="N322" s="3"/>
      <c r="O322" s="3"/>
      <c r="P322" s="6"/>
      <c r="Q322" s="6"/>
      <c r="R322" s="3"/>
      <c r="S322" s="3"/>
      <c r="T322" s="3"/>
      <c r="X322" s="3"/>
    </row>
    <row r="323" spans="1:27">
      <c r="A323" s="1" t="s">
        <v>3</v>
      </c>
      <c r="B323" s="2">
        <v>-26.3143711812771</v>
      </c>
      <c r="C323" s="2">
        <v>-48.8271549979779</v>
      </c>
      <c r="I323" s="2"/>
      <c r="J323" s="2"/>
      <c r="L323" s="3"/>
      <c r="M323" s="3"/>
      <c r="N323" s="3"/>
      <c r="O323" s="3"/>
      <c r="P323" s="6"/>
      <c r="Q323" s="6"/>
      <c r="R323" s="3"/>
      <c r="S323" s="3"/>
      <c r="T323" s="3"/>
      <c r="X323" s="3"/>
    </row>
    <row r="324" spans="1:27">
      <c r="A324" s="1" t="s">
        <v>3</v>
      </c>
      <c r="B324" s="2">
        <v>-26.3143711812771</v>
      </c>
      <c r="C324" s="2">
        <v>-48.8271549979779</v>
      </c>
      <c r="I324" s="2"/>
      <c r="J324" s="2"/>
      <c r="L324" s="3"/>
      <c r="M324" s="3"/>
      <c r="N324" s="3"/>
      <c r="O324" s="3"/>
      <c r="P324" s="6"/>
      <c r="Q324" s="6"/>
      <c r="R324" s="3"/>
      <c r="S324" s="3"/>
      <c r="T324" s="3"/>
      <c r="X324" s="3"/>
    </row>
    <row r="325" spans="1:27">
      <c r="A325" s="1" t="s">
        <v>3</v>
      </c>
      <c r="B325" s="2">
        <v>-26.3143711812771</v>
      </c>
      <c r="C325" s="2">
        <v>-48.8271549979779</v>
      </c>
      <c r="J325" s="2"/>
      <c r="L325" s="3"/>
      <c r="M325" s="3"/>
      <c r="N325" s="3"/>
      <c r="O325" s="3"/>
      <c r="P325" s="6"/>
      <c r="Q325" s="6"/>
      <c r="R325" s="3"/>
      <c r="S325" s="3"/>
      <c r="T325" s="3"/>
      <c r="X325" s="3"/>
      <c r="Y325" s="3"/>
    </row>
    <row r="326" spans="1:27">
      <c r="A326" s="1" t="s">
        <v>3</v>
      </c>
      <c r="B326" s="2">
        <v>-26.3143711812771</v>
      </c>
      <c r="C326" s="2">
        <v>-48.8271549979779</v>
      </c>
      <c r="L326" s="3"/>
      <c r="M326" s="3"/>
      <c r="N326" s="3"/>
      <c r="O326" s="3"/>
      <c r="P326" s="6"/>
      <c r="Q326" s="6"/>
      <c r="R326" s="3"/>
      <c r="S326" s="3"/>
      <c r="T326" s="3"/>
      <c r="X326" s="3"/>
      <c r="Y326" s="3"/>
    </row>
    <row r="327" spans="1:27" s="7" customFormat="1">
      <c r="A327" s="1" t="s">
        <v>3</v>
      </c>
      <c r="B327" s="2">
        <v>-26.3143711812771</v>
      </c>
      <c r="C327" s="2">
        <v>-48.8271549979779</v>
      </c>
      <c r="D327" s="1"/>
      <c r="E327" s="1"/>
      <c r="F327" s="1"/>
      <c r="G327" s="1"/>
      <c r="H327" s="1"/>
      <c r="I327" s="1"/>
      <c r="J327" s="1"/>
      <c r="K327" s="1"/>
      <c r="L327" s="3"/>
      <c r="M327" s="3"/>
      <c r="N327" s="3"/>
      <c r="O327" s="3"/>
      <c r="P327" s="6"/>
      <c r="Q327" s="6"/>
      <c r="R327" s="3"/>
      <c r="S327" s="3"/>
      <c r="T327" s="3"/>
      <c r="U327" s="1"/>
      <c r="V327" s="1"/>
      <c r="W327" s="1"/>
      <c r="X327" s="3"/>
      <c r="Y327" s="3"/>
      <c r="Z327" s="1"/>
      <c r="AA327" s="1"/>
    </row>
    <row r="328" spans="1:27" s="7" customFormat="1">
      <c r="A328" s="1" t="s">
        <v>3</v>
      </c>
      <c r="B328" s="2">
        <v>-26.3143711812771</v>
      </c>
      <c r="C328" s="2">
        <v>-48.8271549979779</v>
      </c>
      <c r="D328" s="1"/>
      <c r="E328" s="1"/>
      <c r="F328" s="1"/>
      <c r="G328" s="1"/>
      <c r="H328" s="1"/>
      <c r="I328" s="1"/>
      <c r="J328" s="1"/>
      <c r="K328" s="1"/>
      <c r="L328" s="3"/>
      <c r="M328" s="3"/>
      <c r="N328" s="3"/>
      <c r="O328" s="3"/>
      <c r="P328" s="6"/>
      <c r="Q328" s="6"/>
      <c r="R328" s="3"/>
      <c r="S328" s="3"/>
      <c r="T328" s="3"/>
      <c r="U328" s="1"/>
      <c r="V328" s="1"/>
      <c r="W328" s="1"/>
      <c r="X328" s="3"/>
      <c r="Y328" s="3"/>
      <c r="Z328" s="1"/>
      <c r="AA328" s="1"/>
    </row>
    <row r="329" spans="1:27" s="7" customFormat="1">
      <c r="A329" s="1" t="s">
        <v>3</v>
      </c>
      <c r="B329" s="2">
        <v>-26.3143711812771</v>
      </c>
      <c r="C329" s="2">
        <v>-48.8271549979779</v>
      </c>
      <c r="D329" s="1"/>
      <c r="E329" s="1"/>
      <c r="F329" s="1"/>
      <c r="G329" s="1"/>
      <c r="H329" s="1"/>
      <c r="I329" s="1"/>
      <c r="J329" s="1"/>
      <c r="K329" s="1"/>
      <c r="L329" s="3"/>
      <c r="M329" s="3"/>
      <c r="N329" s="3"/>
      <c r="O329" s="3"/>
      <c r="P329" s="6"/>
      <c r="Q329" s="6"/>
      <c r="R329" s="3"/>
      <c r="S329" s="3"/>
      <c r="T329" s="3"/>
      <c r="U329" s="1"/>
      <c r="V329" s="1"/>
      <c r="W329" s="1"/>
      <c r="X329" s="3"/>
      <c r="Y329" s="3"/>
      <c r="Z329" s="1"/>
      <c r="AA329" s="1"/>
    </row>
    <row r="330" spans="1:27" s="7" customFormat="1">
      <c r="A330" s="1" t="s">
        <v>3</v>
      </c>
      <c r="B330" s="2">
        <v>-26.3143711812771</v>
      </c>
      <c r="C330" s="2">
        <v>-48.8271549979779</v>
      </c>
      <c r="D330" s="1"/>
      <c r="E330" s="1"/>
      <c r="F330" s="1"/>
      <c r="G330" s="1"/>
      <c r="H330" s="1"/>
      <c r="I330" s="1"/>
      <c r="J330" s="1"/>
      <c r="K330" s="1"/>
      <c r="L330" s="3"/>
      <c r="M330" s="3"/>
      <c r="N330" s="3"/>
      <c r="O330" s="3"/>
      <c r="P330" s="6"/>
      <c r="Q330" s="6"/>
      <c r="R330" s="3"/>
      <c r="S330" s="3"/>
      <c r="T330" s="3"/>
      <c r="U330" s="1"/>
      <c r="V330" s="1"/>
      <c r="W330" s="1"/>
      <c r="X330" s="3"/>
      <c r="Y330" s="3"/>
      <c r="Z330" s="1"/>
      <c r="AA330" s="1"/>
    </row>
    <row r="331" spans="1:27" s="7" customFormat="1">
      <c r="A331" s="1" t="s">
        <v>3</v>
      </c>
      <c r="B331" s="2">
        <v>-26.3143711812771</v>
      </c>
      <c r="C331" s="2">
        <v>-48.8271549979779</v>
      </c>
      <c r="D331" s="1"/>
      <c r="E331" s="1"/>
      <c r="F331" s="1"/>
      <c r="G331" s="1"/>
      <c r="H331" s="1"/>
      <c r="I331" s="1"/>
      <c r="J331" s="1"/>
      <c r="K331" s="1"/>
      <c r="L331" s="3"/>
      <c r="M331" s="3"/>
      <c r="N331" s="3"/>
      <c r="O331" s="3"/>
      <c r="P331" s="6"/>
      <c r="Q331" s="6"/>
      <c r="R331" s="3"/>
      <c r="S331" s="3"/>
      <c r="T331" s="3"/>
      <c r="U331" s="1"/>
      <c r="V331" s="1"/>
      <c r="W331" s="1"/>
      <c r="X331" s="3"/>
      <c r="Y331" s="3"/>
      <c r="Z331" s="1"/>
      <c r="AA331" s="1"/>
    </row>
    <row r="332" spans="1:27" s="7" customFormat="1">
      <c r="A332" s="1" t="s">
        <v>3</v>
      </c>
      <c r="B332" s="2">
        <v>-26.3143711812771</v>
      </c>
      <c r="C332" s="2">
        <v>-48.8271549979779</v>
      </c>
      <c r="D332" s="1"/>
      <c r="E332" s="1"/>
      <c r="F332" s="1"/>
      <c r="G332" s="1"/>
      <c r="H332" s="1"/>
      <c r="I332" s="1"/>
      <c r="J332" s="1"/>
      <c r="K332" s="1"/>
      <c r="L332" s="3"/>
      <c r="M332" s="3"/>
      <c r="N332" s="3"/>
      <c r="O332" s="3"/>
      <c r="P332" s="6"/>
      <c r="Q332" s="6"/>
      <c r="R332" s="3"/>
      <c r="S332" s="3"/>
      <c r="T332" s="3"/>
      <c r="U332" s="1"/>
      <c r="V332" s="1"/>
      <c r="W332" s="1"/>
      <c r="X332" s="3"/>
      <c r="Y332" s="3"/>
      <c r="Z332" s="1"/>
      <c r="AA332" s="1"/>
    </row>
    <row r="333" spans="1:27" s="7" customFormat="1">
      <c r="A333" s="1" t="s">
        <v>3</v>
      </c>
      <c r="B333" s="2">
        <v>-26.3143711812771</v>
      </c>
      <c r="C333" s="2">
        <v>-48.8271549979779</v>
      </c>
      <c r="D333" s="1"/>
      <c r="E333" s="1"/>
      <c r="F333" s="1"/>
      <c r="G333" s="1"/>
      <c r="H333" s="1"/>
      <c r="I333" s="1"/>
      <c r="J333" s="2"/>
      <c r="K333" s="1"/>
      <c r="L333" s="3"/>
      <c r="M333" s="3"/>
      <c r="N333" s="3"/>
      <c r="O333" s="3"/>
      <c r="P333" s="6"/>
      <c r="Q333" s="6"/>
      <c r="R333" s="3"/>
      <c r="S333" s="3"/>
      <c r="T333" s="3"/>
      <c r="U333" s="1"/>
      <c r="V333" s="1"/>
      <c r="W333" s="1"/>
      <c r="X333" s="3"/>
      <c r="Y333" s="3"/>
      <c r="Z333" s="1"/>
      <c r="AA333" s="1"/>
    </row>
    <row r="334" spans="1:27" s="7" customFormat="1">
      <c r="A334" s="1" t="s">
        <v>3</v>
      </c>
      <c r="B334" s="2">
        <v>-26.3143711812771</v>
      </c>
      <c r="C334" s="2">
        <v>-48.8271549979779</v>
      </c>
      <c r="D334" s="1"/>
      <c r="E334" s="1"/>
      <c r="F334" s="1"/>
      <c r="G334" s="1"/>
      <c r="H334" s="1"/>
      <c r="I334" s="1"/>
      <c r="J334" s="2"/>
      <c r="K334" s="1"/>
      <c r="L334" s="3"/>
      <c r="M334" s="3"/>
      <c r="N334" s="3"/>
      <c r="O334" s="3"/>
      <c r="P334" s="6"/>
      <c r="Q334" s="6"/>
      <c r="R334" s="3"/>
      <c r="S334" s="3"/>
      <c r="T334" s="3"/>
      <c r="U334" s="1"/>
      <c r="V334" s="1"/>
      <c r="W334" s="1"/>
      <c r="X334" s="3"/>
      <c r="Y334" s="3"/>
      <c r="Z334" s="1"/>
      <c r="AA334" s="1"/>
    </row>
    <row r="335" spans="1:27" s="7" customFormat="1">
      <c r="A335" s="1" t="s">
        <v>3</v>
      </c>
      <c r="B335" s="2">
        <v>-26.3143711812771</v>
      </c>
      <c r="C335" s="2">
        <v>-48.8271549979779</v>
      </c>
      <c r="D335" s="1"/>
      <c r="E335" s="1"/>
      <c r="F335" s="1"/>
      <c r="G335" s="1"/>
      <c r="H335" s="1"/>
      <c r="I335" s="1"/>
      <c r="J335" s="2"/>
      <c r="K335" s="1"/>
      <c r="L335" s="3"/>
      <c r="M335" s="3"/>
      <c r="N335" s="1"/>
      <c r="O335" s="3"/>
      <c r="P335" s="1"/>
      <c r="Q335" s="1"/>
      <c r="R335" s="3"/>
      <c r="S335" s="3"/>
      <c r="T335" s="1"/>
      <c r="U335" s="1"/>
      <c r="V335" s="1"/>
      <c r="W335" s="1"/>
      <c r="X335" s="1"/>
      <c r="Y335" s="1"/>
      <c r="Z335" s="1"/>
      <c r="AA335" s="1"/>
    </row>
    <row r="336" spans="1:27">
      <c r="A336" s="1" t="s">
        <v>3</v>
      </c>
      <c r="B336" s="2">
        <v>-26.3143711812771</v>
      </c>
      <c r="C336" s="2">
        <v>-48.8271549979779</v>
      </c>
      <c r="L336" s="3"/>
      <c r="M336" s="3"/>
      <c r="O336" s="3"/>
      <c r="R336" s="3"/>
      <c r="S336" s="3"/>
    </row>
    <row r="337" spans="1:27">
      <c r="A337" s="1" t="s">
        <v>3</v>
      </c>
      <c r="B337" s="2">
        <v>-26.3143711812771</v>
      </c>
      <c r="C337" s="2">
        <v>-48.8271549979779</v>
      </c>
      <c r="L337" s="3"/>
      <c r="M337" s="3"/>
      <c r="O337" s="3"/>
      <c r="R337" s="3"/>
      <c r="S337" s="3"/>
    </row>
    <row r="338" spans="1:27">
      <c r="A338" s="1" t="s">
        <v>3</v>
      </c>
      <c r="B338" s="2">
        <v>-26.3143711812771</v>
      </c>
      <c r="C338" s="2">
        <v>-48.8271549979779</v>
      </c>
      <c r="J338" s="2"/>
      <c r="L338" s="3"/>
      <c r="M338" s="3"/>
      <c r="O338" s="3"/>
      <c r="R338" s="3"/>
      <c r="S338" s="3"/>
    </row>
    <row r="339" spans="1:27">
      <c r="A339" s="1" t="s">
        <v>3</v>
      </c>
      <c r="B339" s="2">
        <v>-26.3143711812771</v>
      </c>
      <c r="C339" s="2">
        <v>-48.8271549979779</v>
      </c>
      <c r="L339" s="3"/>
      <c r="M339" s="3"/>
      <c r="O339" s="3"/>
      <c r="R339" s="3"/>
      <c r="S339" s="3"/>
    </row>
    <row r="340" spans="1:27">
      <c r="A340" s="1" t="s">
        <v>3</v>
      </c>
      <c r="B340" s="2">
        <v>-26.3143711812771</v>
      </c>
      <c r="C340" s="2">
        <v>-48.8271549979779</v>
      </c>
      <c r="L340" s="3"/>
      <c r="M340" s="3"/>
      <c r="O340" s="3"/>
      <c r="R340" s="3"/>
      <c r="S340" s="3"/>
    </row>
    <row r="341" spans="1:27">
      <c r="A341" s="1" t="s">
        <v>3</v>
      </c>
      <c r="B341" s="2">
        <v>-26.3143711812771</v>
      </c>
      <c r="C341" s="2">
        <v>-48.8271549979779</v>
      </c>
      <c r="L341" s="3"/>
      <c r="M341" s="3"/>
      <c r="O341" s="3"/>
      <c r="R341" s="3"/>
      <c r="S341" s="3"/>
    </row>
    <row r="342" spans="1:27">
      <c r="A342" s="1" t="s">
        <v>3</v>
      </c>
      <c r="B342" s="2">
        <v>-26.3143711812771</v>
      </c>
      <c r="C342" s="2">
        <v>-48.8271549979779</v>
      </c>
      <c r="J342" s="2"/>
      <c r="L342" s="3"/>
      <c r="M342" s="3"/>
      <c r="O342" s="3"/>
      <c r="R342" s="3"/>
      <c r="S342" s="3"/>
    </row>
    <row r="343" spans="1:27">
      <c r="A343" s="1" t="s">
        <v>3</v>
      </c>
      <c r="B343" s="2">
        <v>-26.3143711812771</v>
      </c>
      <c r="C343" s="2">
        <v>-48.8271549979779</v>
      </c>
      <c r="L343" s="3"/>
      <c r="M343" s="3"/>
      <c r="O343" s="3"/>
      <c r="R343" s="3"/>
      <c r="S343" s="3"/>
    </row>
    <row r="344" spans="1:27">
      <c r="A344" s="1" t="s">
        <v>3</v>
      </c>
      <c r="B344" s="2">
        <v>-26.3143711812771</v>
      </c>
      <c r="C344" s="2">
        <v>-48.8271549979779</v>
      </c>
      <c r="L344" s="3"/>
      <c r="M344" s="3"/>
      <c r="O344" s="3"/>
      <c r="R344" s="3"/>
      <c r="S344" s="3"/>
    </row>
    <row r="345" spans="1:27" s="7" customFormat="1">
      <c r="A345" s="1" t="s">
        <v>3</v>
      </c>
      <c r="B345" s="2">
        <v>-26.3143711812771</v>
      </c>
      <c r="C345" s="2">
        <v>-48.8271549979779</v>
      </c>
      <c r="D345" s="1"/>
      <c r="E345" s="1"/>
      <c r="F345" s="1"/>
      <c r="G345" s="1"/>
      <c r="H345" s="1"/>
      <c r="I345" s="1"/>
      <c r="J345" s="1"/>
      <c r="K345" s="1"/>
      <c r="L345" s="3"/>
      <c r="M345" s="3"/>
      <c r="N345" s="1"/>
      <c r="O345" s="3"/>
      <c r="P345" s="1"/>
      <c r="Q345" s="1"/>
      <c r="R345" s="3"/>
      <c r="S345" s="3"/>
      <c r="T345" s="1"/>
      <c r="U345" s="1"/>
      <c r="V345" s="1"/>
      <c r="W345" s="1"/>
      <c r="X345" s="1"/>
      <c r="Y345" s="1"/>
      <c r="Z345" s="1"/>
      <c r="AA345" s="1"/>
    </row>
    <row r="346" spans="1:27" s="7" customFormat="1">
      <c r="A346" s="1" t="s">
        <v>3</v>
      </c>
      <c r="B346" s="2">
        <v>-26.3143711812771</v>
      </c>
      <c r="C346" s="2">
        <v>-48.8271549979779</v>
      </c>
      <c r="D346" s="1"/>
      <c r="E346" s="1"/>
      <c r="F346" s="1"/>
      <c r="G346" s="1"/>
      <c r="H346" s="1"/>
      <c r="I346" s="1"/>
      <c r="J346" s="1"/>
      <c r="K346" s="1"/>
      <c r="L346" s="3"/>
      <c r="M346" s="3"/>
      <c r="N346" s="1"/>
      <c r="O346" s="3"/>
      <c r="P346" s="1"/>
      <c r="Q346" s="1"/>
      <c r="R346" s="3"/>
      <c r="S346" s="3"/>
      <c r="T346" s="1"/>
      <c r="U346" s="1"/>
      <c r="V346" s="1"/>
      <c r="W346" s="1"/>
      <c r="X346" s="1"/>
      <c r="Y346" s="1"/>
      <c r="Z346" s="1"/>
      <c r="AA346" s="1"/>
    </row>
    <row r="347" spans="1:27" s="7" customFormat="1" hidden="1">
      <c r="A347" s="1" t="s">
        <v>1</v>
      </c>
      <c r="B347" s="1">
        <v>-28.477</v>
      </c>
      <c r="C347" s="1">
        <v>-48.777000000000001</v>
      </c>
      <c r="D347" s="1" t="s">
        <v>615</v>
      </c>
      <c r="E347" s="1" t="s">
        <v>285</v>
      </c>
      <c r="F347" s="1"/>
      <c r="G347" s="1" t="s">
        <v>26</v>
      </c>
      <c r="H347" s="1"/>
      <c r="I347" s="2" t="s">
        <v>20</v>
      </c>
      <c r="J347" s="2" t="s">
        <v>20</v>
      </c>
      <c r="K347" s="1" t="s">
        <v>31</v>
      </c>
      <c r="L347" s="3">
        <v>43.3</v>
      </c>
      <c r="M347" s="3">
        <v>14.7</v>
      </c>
      <c r="N347" s="3">
        <v>0.22</v>
      </c>
      <c r="O347" s="3">
        <v>3.4</v>
      </c>
      <c r="P347" s="6">
        <v>524.84848484848487</v>
      </c>
      <c r="Q347" s="6">
        <f t="shared" ref="Q347:Q351" si="25">M347/N347*32/14</f>
        <v>152.72727272727272</v>
      </c>
      <c r="R347" s="3">
        <v>-10.199999999999999</v>
      </c>
      <c r="S347" s="3">
        <v>17.7</v>
      </c>
      <c r="T347" s="3">
        <v>11.1</v>
      </c>
      <c r="U347" s="1">
        <f t="shared" ref="U347:U351" si="26">R347-1</f>
        <v>-11.2</v>
      </c>
      <c r="V347" s="1">
        <f t="shared" ref="V347:V351" si="27">S347-3.4</f>
        <v>14.299999999999999</v>
      </c>
      <c r="W347" s="1">
        <f t="shared" ref="W347:W351" si="28">T347+1.5</f>
        <v>12.6</v>
      </c>
      <c r="X347" s="3" t="s">
        <v>11</v>
      </c>
      <c r="Y347" s="3" t="s">
        <v>12</v>
      </c>
      <c r="Z347" s="1" t="s">
        <v>888</v>
      </c>
      <c r="AA347" s="1"/>
    </row>
    <row r="348" spans="1:27" s="7" customFormat="1" hidden="1">
      <c r="A348" s="1" t="s">
        <v>1</v>
      </c>
      <c r="B348" s="1">
        <v>-28.477</v>
      </c>
      <c r="C348" s="1">
        <v>-48.777000000000001</v>
      </c>
      <c r="D348" s="1" t="s">
        <v>616</v>
      </c>
      <c r="E348" s="1" t="s">
        <v>617</v>
      </c>
      <c r="F348" s="1"/>
      <c r="G348" s="1" t="s">
        <v>26</v>
      </c>
      <c r="H348" s="1"/>
      <c r="I348" s="2" t="s">
        <v>20</v>
      </c>
      <c r="J348" s="2" t="s">
        <v>20</v>
      </c>
      <c r="K348" s="1" t="s">
        <v>94</v>
      </c>
      <c r="L348" s="3">
        <v>37.6</v>
      </c>
      <c r="M348" s="3">
        <v>13.2</v>
      </c>
      <c r="N348" s="3">
        <v>0.23</v>
      </c>
      <c r="O348" s="3">
        <v>3.3</v>
      </c>
      <c r="P348" s="6">
        <v>435.94202898550725</v>
      </c>
      <c r="Q348" s="6">
        <f t="shared" si="25"/>
        <v>131.18012422360246</v>
      </c>
      <c r="R348" s="3">
        <v>-10.5</v>
      </c>
      <c r="S348" s="3">
        <v>17.399999999999999</v>
      </c>
      <c r="T348" s="3">
        <v>10.3</v>
      </c>
      <c r="U348" s="1">
        <f t="shared" si="26"/>
        <v>-11.5</v>
      </c>
      <c r="V348" s="1">
        <f t="shared" si="27"/>
        <v>13.999999999999998</v>
      </c>
      <c r="W348" s="1">
        <f t="shared" si="28"/>
        <v>11.8</v>
      </c>
      <c r="X348" s="3" t="s">
        <v>11</v>
      </c>
      <c r="Y348" s="1" t="s">
        <v>12</v>
      </c>
      <c r="Z348" s="1" t="s">
        <v>888</v>
      </c>
      <c r="AA348" s="1"/>
    </row>
    <row r="349" spans="1:27" s="7" customFormat="1" hidden="1">
      <c r="A349" s="1" t="s">
        <v>618</v>
      </c>
      <c r="B349" s="2">
        <v>-26.366104</v>
      </c>
      <c r="C349" s="2">
        <v>-48.678519999999999</v>
      </c>
      <c r="D349" s="1" t="s">
        <v>619</v>
      </c>
      <c r="E349" s="1" t="s">
        <v>620</v>
      </c>
      <c r="F349" s="1"/>
      <c r="G349" s="1" t="s">
        <v>26</v>
      </c>
      <c r="H349" s="1"/>
      <c r="I349" s="2" t="s">
        <v>20</v>
      </c>
      <c r="J349" s="2" t="s">
        <v>20</v>
      </c>
      <c r="K349" s="1" t="s">
        <v>27</v>
      </c>
      <c r="L349" s="3">
        <v>40.700000000000003</v>
      </c>
      <c r="M349" s="3">
        <v>14</v>
      </c>
      <c r="N349" s="3">
        <v>0.18</v>
      </c>
      <c r="O349" s="3">
        <v>3.4</v>
      </c>
      <c r="P349" s="6">
        <v>602.96296296296305</v>
      </c>
      <c r="Q349" s="6">
        <f t="shared" si="25"/>
        <v>177.7777777777778</v>
      </c>
      <c r="R349" s="3">
        <v>-13.4</v>
      </c>
      <c r="S349" s="3">
        <v>14.4</v>
      </c>
      <c r="T349" s="3">
        <v>10.3</v>
      </c>
      <c r="U349" s="1">
        <f t="shared" si="26"/>
        <v>-14.4</v>
      </c>
      <c r="V349" s="1">
        <f t="shared" si="27"/>
        <v>11</v>
      </c>
      <c r="W349" s="1">
        <f t="shared" si="28"/>
        <v>11.8</v>
      </c>
      <c r="X349" s="3" t="s">
        <v>11</v>
      </c>
      <c r="Y349" s="1" t="s">
        <v>12</v>
      </c>
      <c r="Z349" s="1" t="s">
        <v>888</v>
      </c>
      <c r="AA349" s="1"/>
    </row>
    <row r="350" spans="1:27" s="7" customFormat="1" hidden="1">
      <c r="A350" s="1" t="s">
        <v>618</v>
      </c>
      <c r="B350" s="2">
        <v>-26.366104</v>
      </c>
      <c r="C350" s="2">
        <v>-48.678519999999999</v>
      </c>
      <c r="D350" s="1" t="s">
        <v>621</v>
      </c>
      <c r="E350" s="1" t="s">
        <v>622</v>
      </c>
      <c r="F350" s="1"/>
      <c r="G350" s="1" t="s">
        <v>26</v>
      </c>
      <c r="H350" s="1"/>
      <c r="I350" s="2" t="s">
        <v>20</v>
      </c>
      <c r="J350" s="2" t="s">
        <v>20</v>
      </c>
      <c r="K350" s="1" t="s">
        <v>243</v>
      </c>
      <c r="L350" s="3">
        <v>42</v>
      </c>
      <c r="M350" s="3">
        <v>14.9</v>
      </c>
      <c r="N350" s="3">
        <v>0.2</v>
      </c>
      <c r="O350" s="3">
        <v>3.3</v>
      </c>
      <c r="P350" s="6">
        <v>560</v>
      </c>
      <c r="Q350" s="6">
        <f t="shared" si="25"/>
        <v>170.28571428571428</v>
      </c>
      <c r="R350" s="3">
        <v>-20.8</v>
      </c>
      <c r="S350" s="3">
        <v>13.6</v>
      </c>
      <c r="T350" s="3">
        <v>10.3</v>
      </c>
      <c r="U350" s="1">
        <f t="shared" si="26"/>
        <v>-21.8</v>
      </c>
      <c r="V350" s="1">
        <f t="shared" si="27"/>
        <v>10.199999999999999</v>
      </c>
      <c r="W350" s="1">
        <f t="shared" si="28"/>
        <v>11.8</v>
      </c>
      <c r="X350" s="3" t="s">
        <v>11</v>
      </c>
      <c r="Y350" s="1" t="s">
        <v>12</v>
      </c>
      <c r="Z350" s="1" t="s">
        <v>888</v>
      </c>
      <c r="AA350" s="1"/>
    </row>
    <row r="351" spans="1:27" s="7" customFormat="1" hidden="1">
      <c r="A351" s="1" t="s">
        <v>618</v>
      </c>
      <c r="B351" s="2">
        <v>-26.366104</v>
      </c>
      <c r="C351" s="2">
        <v>-48.678519999999999</v>
      </c>
      <c r="D351" s="1" t="s">
        <v>623</v>
      </c>
      <c r="E351" s="1" t="s">
        <v>624</v>
      </c>
      <c r="F351" s="1"/>
      <c r="G351" s="1" t="s">
        <v>26</v>
      </c>
      <c r="H351" s="1"/>
      <c r="I351" s="2" t="s">
        <v>20</v>
      </c>
      <c r="J351" s="2" t="s">
        <v>20</v>
      </c>
      <c r="K351" s="1" t="s">
        <v>27</v>
      </c>
      <c r="L351" s="3">
        <v>41.5</v>
      </c>
      <c r="M351" s="3">
        <v>14.3</v>
      </c>
      <c r="N351" s="3">
        <v>0.18</v>
      </c>
      <c r="O351" s="3">
        <v>3.4</v>
      </c>
      <c r="P351" s="6">
        <v>614.81481481481489</v>
      </c>
      <c r="Q351" s="6">
        <f t="shared" si="25"/>
        <v>181.58730158730162</v>
      </c>
      <c r="R351" s="3">
        <v>-13.4</v>
      </c>
      <c r="S351" s="3">
        <v>11.4</v>
      </c>
      <c r="T351" s="3">
        <v>7.4</v>
      </c>
      <c r="U351" s="1">
        <f t="shared" si="26"/>
        <v>-14.4</v>
      </c>
      <c r="V351" s="1">
        <f t="shared" si="27"/>
        <v>8</v>
      </c>
      <c r="W351" s="1">
        <f t="shared" si="28"/>
        <v>8.9</v>
      </c>
      <c r="X351" s="3" t="s">
        <v>11</v>
      </c>
      <c r="Y351" s="1" t="s">
        <v>12</v>
      </c>
      <c r="Z351" s="1" t="s">
        <v>888</v>
      </c>
      <c r="AA351" s="1"/>
    </row>
    <row r="352" spans="1:27" s="7" customFormat="1">
      <c r="A352" s="1" t="s">
        <v>5</v>
      </c>
      <c r="B352" s="11">
        <v>-23.875</v>
      </c>
      <c r="C352" s="11">
        <v>-46.378</v>
      </c>
      <c r="D352" s="1"/>
      <c r="E352" s="1"/>
      <c r="F352" s="1"/>
      <c r="G352" s="1"/>
      <c r="H352" s="1"/>
      <c r="I352" s="1"/>
      <c r="J352" s="2"/>
      <c r="K352" s="1"/>
      <c r="L352" s="3"/>
      <c r="M352" s="3"/>
      <c r="N352" s="3"/>
      <c r="O352" s="3"/>
      <c r="P352" s="6"/>
      <c r="Q352" s="6"/>
      <c r="R352" s="3"/>
      <c r="S352" s="3"/>
      <c r="T352" s="3"/>
      <c r="U352" s="1"/>
      <c r="V352" s="1"/>
      <c r="W352" s="1"/>
      <c r="X352" s="3"/>
      <c r="Y352" s="1"/>
      <c r="Z352" s="1"/>
      <c r="AA352" s="1"/>
    </row>
    <row r="353" spans="1:27" s="7" customFormat="1">
      <c r="A353" s="1" t="s">
        <v>5</v>
      </c>
      <c r="B353" s="11">
        <v>-23.875</v>
      </c>
      <c r="C353" s="11">
        <v>-46.378</v>
      </c>
      <c r="D353" s="1"/>
      <c r="E353" s="1"/>
      <c r="F353" s="1"/>
      <c r="G353" s="1"/>
      <c r="H353" s="1"/>
      <c r="I353" s="1"/>
      <c r="J353" s="1"/>
      <c r="K353" s="1"/>
      <c r="L353" s="3"/>
      <c r="M353" s="3"/>
      <c r="N353" s="3"/>
      <c r="O353" s="3"/>
      <c r="P353" s="6"/>
      <c r="Q353" s="6"/>
      <c r="R353" s="3"/>
      <c r="S353" s="3"/>
      <c r="T353" s="3"/>
      <c r="U353" s="1"/>
      <c r="V353" s="1"/>
      <c r="W353" s="1"/>
      <c r="X353" s="3"/>
      <c r="Y353" s="1"/>
      <c r="Z353" s="1"/>
      <c r="AA353" s="1"/>
    </row>
    <row r="354" spans="1:27" s="7" customFormat="1">
      <c r="A354" s="1" t="s">
        <v>5</v>
      </c>
      <c r="B354" s="11">
        <v>-23.875</v>
      </c>
      <c r="C354" s="11">
        <v>-46.378</v>
      </c>
      <c r="D354" s="1"/>
      <c r="E354" s="1"/>
      <c r="F354" s="1"/>
      <c r="G354" s="1"/>
      <c r="H354" s="1"/>
      <c r="I354" s="1"/>
      <c r="J354" s="1"/>
      <c r="K354" s="1"/>
      <c r="L354" s="3"/>
      <c r="M354" s="3"/>
      <c r="N354" s="3"/>
      <c r="O354" s="3"/>
      <c r="P354" s="6"/>
      <c r="Q354" s="6"/>
      <c r="R354" s="3"/>
      <c r="S354" s="3"/>
      <c r="T354" s="3"/>
      <c r="U354" s="1"/>
      <c r="V354" s="1"/>
      <c r="W354" s="1"/>
      <c r="X354" s="3"/>
      <c r="Y354" s="1"/>
      <c r="Z354" s="1"/>
      <c r="AA354" s="1"/>
    </row>
    <row r="355" spans="1:27" s="7" customFormat="1">
      <c r="A355" s="1" t="s">
        <v>5</v>
      </c>
      <c r="B355" s="11">
        <v>-23.875</v>
      </c>
      <c r="C355" s="11">
        <v>-46.378</v>
      </c>
      <c r="D355" s="1"/>
      <c r="E355" s="1"/>
      <c r="F355" s="1"/>
      <c r="G355" s="1"/>
      <c r="H355" s="1"/>
      <c r="I355" s="1"/>
      <c r="J355" s="1"/>
      <c r="K355" s="1"/>
      <c r="L355" s="3"/>
      <c r="M355" s="3"/>
      <c r="N355" s="3"/>
      <c r="O355" s="3"/>
      <c r="P355" s="6"/>
      <c r="Q355" s="6"/>
      <c r="R355" s="3"/>
      <c r="S355" s="3"/>
      <c r="T355" s="3"/>
      <c r="U355" s="1"/>
      <c r="V355" s="1"/>
      <c r="W355" s="1"/>
      <c r="X355" s="3"/>
      <c r="Y355" s="1"/>
      <c r="Z355" s="1"/>
      <c r="AA355" s="1"/>
    </row>
    <row r="356" spans="1:27" s="7" customFormat="1">
      <c r="A356" s="1" t="s">
        <v>5</v>
      </c>
      <c r="B356" s="11">
        <v>-23.875</v>
      </c>
      <c r="C356" s="11">
        <v>-46.378</v>
      </c>
      <c r="D356" s="1"/>
      <c r="E356" s="1"/>
      <c r="F356" s="1"/>
      <c r="G356" s="1"/>
      <c r="H356" s="1"/>
      <c r="I356" s="1"/>
      <c r="J356" s="1"/>
      <c r="K356" s="1"/>
      <c r="L356" s="3"/>
      <c r="M356" s="3"/>
      <c r="N356" s="3"/>
      <c r="O356" s="3"/>
      <c r="P356" s="6"/>
      <c r="Q356" s="6"/>
      <c r="R356" s="3"/>
      <c r="S356" s="3"/>
      <c r="T356" s="3"/>
      <c r="U356" s="1"/>
      <c r="V356" s="1"/>
      <c r="W356" s="1"/>
      <c r="X356" s="3"/>
      <c r="Y356" s="1"/>
      <c r="Z356" s="1"/>
      <c r="AA356" s="1"/>
    </row>
    <row r="357" spans="1:27" s="7" customFormat="1">
      <c r="A357" s="1" t="s">
        <v>5</v>
      </c>
      <c r="B357" s="11">
        <v>-23.875</v>
      </c>
      <c r="C357" s="11">
        <v>-46.378</v>
      </c>
      <c r="D357" s="1"/>
      <c r="E357" s="1"/>
      <c r="F357" s="1"/>
      <c r="G357" s="1"/>
      <c r="H357" s="1"/>
      <c r="I357" s="1"/>
      <c r="J357" s="1"/>
      <c r="K357" s="1"/>
      <c r="L357" s="3"/>
      <c r="M357" s="3"/>
      <c r="N357" s="3"/>
      <c r="O357" s="3"/>
      <c r="P357" s="6"/>
      <c r="Q357" s="6"/>
      <c r="R357" s="3"/>
      <c r="S357" s="3"/>
      <c r="T357" s="3"/>
      <c r="U357" s="1"/>
      <c r="V357" s="1"/>
      <c r="W357" s="1"/>
      <c r="X357" s="3"/>
      <c r="Y357" s="1"/>
      <c r="Z357" s="1"/>
      <c r="AA357" s="1"/>
    </row>
    <row r="358" spans="1:27" s="7" customFormat="1">
      <c r="A358" s="1" t="s">
        <v>5</v>
      </c>
      <c r="B358" s="11">
        <v>-23.875</v>
      </c>
      <c r="C358" s="11">
        <v>-46.378</v>
      </c>
      <c r="D358" s="1"/>
      <c r="E358" s="1"/>
      <c r="F358" s="1"/>
      <c r="G358" s="1"/>
      <c r="H358" s="1"/>
      <c r="I358" s="1"/>
      <c r="J358" s="1"/>
      <c r="K358" s="1"/>
      <c r="L358" s="3"/>
      <c r="M358" s="3"/>
      <c r="N358" s="3"/>
      <c r="O358" s="3"/>
      <c r="P358" s="6"/>
      <c r="Q358" s="6"/>
      <c r="R358" s="3"/>
      <c r="S358" s="3"/>
      <c r="T358" s="3"/>
      <c r="U358" s="1"/>
      <c r="V358" s="1"/>
      <c r="W358" s="1"/>
      <c r="X358" s="3"/>
      <c r="Y358" s="1"/>
      <c r="Z358" s="1"/>
      <c r="AA358" s="1"/>
    </row>
    <row r="359" spans="1:27" s="7" customFormat="1">
      <c r="A359" s="1" t="s">
        <v>5</v>
      </c>
      <c r="B359" s="11">
        <v>-23.875</v>
      </c>
      <c r="C359" s="11">
        <v>-46.378</v>
      </c>
      <c r="D359" s="1"/>
      <c r="E359" s="1"/>
      <c r="F359" s="1"/>
      <c r="G359" s="1"/>
      <c r="H359" s="1"/>
      <c r="I359" s="1"/>
      <c r="J359" s="2"/>
      <c r="K359" s="1"/>
      <c r="L359" s="3"/>
      <c r="M359" s="3"/>
      <c r="N359" s="3"/>
      <c r="O359" s="3"/>
      <c r="P359" s="6"/>
      <c r="Q359" s="6"/>
      <c r="R359" s="3"/>
      <c r="S359" s="3"/>
      <c r="T359" s="3"/>
      <c r="U359" s="1"/>
      <c r="V359" s="1"/>
      <c r="W359" s="1"/>
      <c r="X359" s="3"/>
      <c r="Y359" s="1"/>
      <c r="Z359" s="1"/>
      <c r="AA359" s="1"/>
    </row>
    <row r="360" spans="1:27">
      <c r="A360" s="1" t="s">
        <v>5</v>
      </c>
      <c r="B360" s="11">
        <v>-23.875</v>
      </c>
      <c r="C360" s="11">
        <v>-46.378</v>
      </c>
      <c r="L360" s="3"/>
      <c r="M360" s="3"/>
      <c r="N360" s="3"/>
      <c r="O360" s="3"/>
      <c r="P360" s="6"/>
      <c r="Q360" s="6"/>
      <c r="R360" s="3"/>
      <c r="S360" s="3"/>
      <c r="T360" s="3"/>
      <c r="X360" s="3"/>
    </row>
    <row r="361" spans="1:27">
      <c r="A361" s="1" t="s">
        <v>5</v>
      </c>
      <c r="B361" s="11">
        <v>-23.875</v>
      </c>
      <c r="C361" s="11">
        <v>-46.378</v>
      </c>
      <c r="L361" s="3"/>
      <c r="M361" s="3"/>
      <c r="N361" s="3"/>
      <c r="O361" s="3"/>
      <c r="P361" s="6"/>
      <c r="Q361" s="6"/>
      <c r="R361" s="3"/>
      <c r="S361" s="3"/>
      <c r="T361" s="3"/>
      <c r="X361" s="3"/>
    </row>
    <row r="362" spans="1:27">
      <c r="A362" s="1" t="s">
        <v>5</v>
      </c>
      <c r="B362" s="11">
        <v>-23.875</v>
      </c>
      <c r="C362" s="11">
        <v>-46.378</v>
      </c>
      <c r="L362" s="3"/>
      <c r="M362" s="3"/>
      <c r="N362" s="3"/>
      <c r="O362" s="3"/>
      <c r="P362" s="6"/>
      <c r="Q362" s="6"/>
      <c r="R362" s="3"/>
      <c r="S362" s="3"/>
      <c r="T362" s="3"/>
      <c r="X362" s="3"/>
    </row>
    <row r="363" spans="1:27">
      <c r="A363" s="1" t="s">
        <v>5</v>
      </c>
      <c r="B363" s="11">
        <v>-23.875</v>
      </c>
      <c r="C363" s="11">
        <v>-46.378</v>
      </c>
      <c r="J363" s="2"/>
      <c r="L363" s="3"/>
      <c r="M363" s="3"/>
      <c r="N363" s="3"/>
      <c r="O363" s="3"/>
      <c r="P363" s="6"/>
      <c r="Q363" s="6"/>
      <c r="R363" s="3"/>
      <c r="S363" s="3"/>
      <c r="T363" s="3"/>
      <c r="X363" s="3"/>
    </row>
    <row r="364" spans="1:27">
      <c r="A364" s="1" t="s">
        <v>5</v>
      </c>
      <c r="B364" s="11">
        <v>-23.875</v>
      </c>
      <c r="C364" s="11">
        <v>-46.378</v>
      </c>
      <c r="J364" s="2"/>
      <c r="L364" s="3"/>
      <c r="M364" s="3"/>
      <c r="N364" s="3"/>
      <c r="O364" s="3"/>
      <c r="P364" s="6"/>
      <c r="Q364" s="6"/>
      <c r="R364" s="3"/>
      <c r="S364" s="3"/>
      <c r="T364" s="3"/>
      <c r="X364" s="3"/>
    </row>
    <row r="365" spans="1:27">
      <c r="A365" s="1" t="s">
        <v>5</v>
      </c>
      <c r="B365" s="11">
        <v>-23.875</v>
      </c>
      <c r="C365" s="11">
        <v>-46.378</v>
      </c>
      <c r="J365" s="2"/>
      <c r="L365" s="3"/>
      <c r="M365" s="3"/>
      <c r="N365" s="3"/>
      <c r="O365" s="3"/>
      <c r="P365" s="6"/>
      <c r="Q365" s="6"/>
      <c r="R365" s="3"/>
      <c r="S365" s="3"/>
      <c r="T365" s="3"/>
      <c r="X365" s="3"/>
    </row>
    <row r="366" spans="1:27">
      <c r="A366" s="1" t="s">
        <v>5</v>
      </c>
      <c r="B366" s="11">
        <v>-23.875</v>
      </c>
      <c r="C366" s="11">
        <v>-46.378</v>
      </c>
      <c r="J366" s="2"/>
      <c r="L366" s="3"/>
      <c r="M366" s="3"/>
      <c r="N366" s="3"/>
      <c r="O366" s="3"/>
      <c r="P366" s="6"/>
      <c r="Q366" s="6"/>
      <c r="R366" s="3"/>
      <c r="S366" s="3"/>
      <c r="T366" s="3"/>
      <c r="X366" s="3"/>
    </row>
    <row r="367" spans="1:27">
      <c r="A367" s="1" t="s">
        <v>5</v>
      </c>
      <c r="B367" s="11">
        <v>-23.875</v>
      </c>
      <c r="C367" s="11">
        <v>-46.378</v>
      </c>
      <c r="L367" s="3"/>
      <c r="M367" s="3"/>
      <c r="O367" s="3"/>
      <c r="R367" s="3"/>
      <c r="S367" s="3"/>
      <c r="AA367" s="8"/>
    </row>
    <row r="368" spans="1:27">
      <c r="A368" s="1" t="s">
        <v>5</v>
      </c>
      <c r="B368" s="11">
        <v>-23.875</v>
      </c>
      <c r="C368" s="11">
        <v>-46.378</v>
      </c>
      <c r="L368" s="3"/>
      <c r="M368" s="3"/>
      <c r="O368" s="3"/>
      <c r="R368" s="3"/>
      <c r="S368" s="3"/>
      <c r="AA368" s="8"/>
    </row>
    <row r="369" spans="1:27">
      <c r="A369" s="1" t="s">
        <v>5</v>
      </c>
      <c r="B369" s="11">
        <v>-23.875</v>
      </c>
      <c r="C369" s="11">
        <v>-46.378</v>
      </c>
      <c r="L369" s="3"/>
      <c r="M369" s="3"/>
      <c r="O369" s="3"/>
      <c r="R369" s="3"/>
      <c r="S369" s="3"/>
      <c r="AA369" s="8"/>
    </row>
    <row r="370" spans="1:27" ht="16">
      <c r="A370" s="1" t="s">
        <v>5</v>
      </c>
      <c r="B370" s="11">
        <v>-23.875</v>
      </c>
      <c r="C370" s="11">
        <v>-46.378</v>
      </c>
      <c r="E370" s="9"/>
      <c r="F370" s="9"/>
      <c r="L370" s="3"/>
      <c r="M370" s="3"/>
      <c r="O370" s="3"/>
      <c r="R370" s="3"/>
      <c r="S370" s="3"/>
      <c r="AA370" s="8"/>
    </row>
    <row r="371" spans="1:27" ht="16">
      <c r="A371" s="1" t="s">
        <v>5</v>
      </c>
      <c r="B371" s="11">
        <v>-23.875</v>
      </c>
      <c r="C371" s="11">
        <v>-46.378</v>
      </c>
      <c r="E371" s="9"/>
      <c r="F371" s="9"/>
      <c r="L371" s="3"/>
      <c r="M371" s="3"/>
      <c r="O371" s="3"/>
      <c r="R371" s="3"/>
      <c r="S371" s="3"/>
      <c r="AA371" s="8"/>
    </row>
    <row r="372" spans="1:27" ht="16">
      <c r="A372" s="1" t="s">
        <v>5</v>
      </c>
      <c r="B372" s="11">
        <v>-23.875</v>
      </c>
      <c r="C372" s="11">
        <v>-46.378</v>
      </c>
      <c r="E372" s="9"/>
      <c r="F372" s="9"/>
      <c r="L372" s="3"/>
      <c r="M372" s="3"/>
      <c r="O372" s="3"/>
      <c r="R372" s="3"/>
      <c r="S372" s="3"/>
      <c r="AA372" s="8"/>
    </row>
    <row r="373" spans="1:27" ht="16">
      <c r="A373" s="1" t="s">
        <v>5</v>
      </c>
      <c r="B373" s="11">
        <v>-23.875</v>
      </c>
      <c r="C373" s="11">
        <v>-46.378</v>
      </c>
      <c r="E373" s="9"/>
      <c r="F373" s="9"/>
      <c r="L373" s="3"/>
      <c r="M373" s="3"/>
      <c r="O373" s="3"/>
      <c r="R373" s="3"/>
      <c r="S373" s="3"/>
      <c r="AA373" s="8"/>
    </row>
    <row r="374" spans="1:27" ht="16">
      <c r="A374" s="1" t="s">
        <v>5</v>
      </c>
      <c r="B374" s="11">
        <v>-23.875</v>
      </c>
      <c r="C374" s="11">
        <v>-46.378</v>
      </c>
      <c r="E374" s="9"/>
      <c r="F374" s="9"/>
      <c r="L374" s="3"/>
      <c r="M374" s="3"/>
      <c r="O374" s="3"/>
      <c r="R374" s="3"/>
      <c r="S374" s="3"/>
      <c r="AA374" s="8"/>
    </row>
    <row r="375" spans="1:27" ht="16">
      <c r="A375" s="1" t="s">
        <v>5</v>
      </c>
      <c r="B375" s="11">
        <v>-23.875</v>
      </c>
      <c r="C375" s="11">
        <v>-46.378</v>
      </c>
      <c r="E375" s="9"/>
      <c r="F375" s="9"/>
      <c r="L375" s="3"/>
      <c r="M375" s="3"/>
      <c r="O375" s="3"/>
      <c r="R375" s="3"/>
      <c r="S375" s="3"/>
      <c r="AA375" s="8"/>
    </row>
    <row r="376" spans="1:27" ht="16">
      <c r="A376" s="1" t="s">
        <v>5</v>
      </c>
      <c r="B376" s="11">
        <v>-23.875</v>
      </c>
      <c r="C376" s="11">
        <v>-46.378</v>
      </c>
      <c r="E376" s="9"/>
      <c r="F376" s="9"/>
      <c r="L376" s="3"/>
      <c r="M376" s="3"/>
      <c r="O376" s="3"/>
      <c r="R376" s="3"/>
      <c r="S376" s="3"/>
      <c r="AA376" s="8"/>
    </row>
    <row r="377" spans="1:27" ht="16">
      <c r="A377" s="1" t="s">
        <v>5</v>
      </c>
      <c r="B377" s="11">
        <v>-23.875</v>
      </c>
      <c r="C377" s="11">
        <v>-46.378</v>
      </c>
      <c r="E377" s="9"/>
      <c r="F377" s="9"/>
      <c r="L377" s="3"/>
      <c r="M377" s="3"/>
      <c r="O377" s="3"/>
      <c r="R377" s="3"/>
      <c r="S377" s="3"/>
      <c r="AA377" s="8"/>
    </row>
    <row r="378" spans="1:27">
      <c r="A378" s="1" t="s">
        <v>5</v>
      </c>
      <c r="B378" s="11">
        <v>-23.875</v>
      </c>
      <c r="C378" s="11">
        <v>-46.378</v>
      </c>
      <c r="L378" s="3"/>
      <c r="M378" s="3"/>
      <c r="O378" s="3"/>
      <c r="R378" s="3"/>
      <c r="S378" s="3"/>
      <c r="AA378" s="8"/>
    </row>
    <row r="379" spans="1:27">
      <c r="A379" s="1" t="s">
        <v>5</v>
      </c>
      <c r="B379" s="11">
        <v>-23.875</v>
      </c>
      <c r="C379" s="11">
        <v>-46.378</v>
      </c>
      <c r="L379" s="3"/>
      <c r="M379" s="3"/>
      <c r="O379" s="3"/>
      <c r="R379" s="3"/>
      <c r="S379" s="3"/>
      <c r="AA379" s="8"/>
    </row>
    <row r="380" spans="1:27">
      <c r="A380" s="1" t="s">
        <v>5</v>
      </c>
      <c r="B380" s="11">
        <v>-23.875</v>
      </c>
      <c r="C380" s="11">
        <v>-46.378</v>
      </c>
      <c r="L380" s="3"/>
      <c r="M380" s="3"/>
      <c r="O380" s="3"/>
      <c r="R380" s="3"/>
      <c r="S380" s="3"/>
      <c r="AA380" s="8"/>
    </row>
    <row r="381" spans="1:27">
      <c r="A381" s="1" t="s">
        <v>5</v>
      </c>
      <c r="B381" s="11">
        <v>-23.875</v>
      </c>
      <c r="C381" s="11">
        <v>-46.378</v>
      </c>
      <c r="L381" s="3"/>
      <c r="M381" s="3"/>
      <c r="O381" s="3"/>
      <c r="R381" s="3"/>
      <c r="S381" s="3"/>
      <c r="AA381" s="8"/>
    </row>
    <row r="382" spans="1:27">
      <c r="A382" s="1" t="s">
        <v>5</v>
      </c>
      <c r="B382" s="11">
        <v>-23.875</v>
      </c>
      <c r="C382" s="11">
        <v>-46.378</v>
      </c>
      <c r="L382" s="3"/>
      <c r="M382" s="3"/>
      <c r="O382" s="3"/>
      <c r="R382" s="3"/>
      <c r="S382" s="3"/>
      <c r="AA382" s="8"/>
    </row>
    <row r="383" spans="1:27">
      <c r="A383" s="1" t="s">
        <v>5</v>
      </c>
      <c r="B383" s="11">
        <v>-23.875</v>
      </c>
      <c r="C383" s="11">
        <v>-46.378</v>
      </c>
      <c r="L383" s="3"/>
      <c r="M383" s="3"/>
      <c r="O383" s="3"/>
      <c r="R383" s="3"/>
      <c r="S383" s="3"/>
      <c r="AA383" s="8"/>
    </row>
    <row r="384" spans="1:27">
      <c r="A384" s="1" t="s">
        <v>5</v>
      </c>
      <c r="B384" s="11">
        <v>-23.875</v>
      </c>
      <c r="C384" s="11">
        <v>-46.378</v>
      </c>
      <c r="L384" s="3"/>
      <c r="M384" s="3"/>
      <c r="O384" s="3"/>
      <c r="R384" s="3"/>
      <c r="S384" s="3"/>
      <c r="AA384" s="8"/>
    </row>
    <row r="385" spans="1:27">
      <c r="A385" s="1" t="s">
        <v>5</v>
      </c>
      <c r="B385" s="11">
        <v>-23.875</v>
      </c>
      <c r="C385" s="11">
        <v>-46.378</v>
      </c>
      <c r="L385" s="3"/>
      <c r="M385" s="3"/>
      <c r="O385" s="3"/>
      <c r="R385" s="3"/>
      <c r="S385" s="3"/>
      <c r="AA385" s="8"/>
    </row>
    <row r="386" spans="1:27">
      <c r="A386" s="1" t="s">
        <v>5</v>
      </c>
      <c r="B386" s="11">
        <v>-23.875</v>
      </c>
      <c r="C386" s="11">
        <v>-46.378</v>
      </c>
      <c r="L386" s="3"/>
      <c r="M386" s="3"/>
      <c r="O386" s="3"/>
      <c r="R386" s="3"/>
      <c r="S386" s="3"/>
      <c r="AA386" s="8"/>
    </row>
    <row r="387" spans="1:27" s="7" customFormat="1">
      <c r="A387" s="1" t="s">
        <v>5</v>
      </c>
      <c r="B387" s="11">
        <v>-23.875</v>
      </c>
      <c r="C387" s="11">
        <v>-46.378</v>
      </c>
      <c r="D387" s="1"/>
      <c r="E387" s="1"/>
      <c r="F387" s="1"/>
      <c r="G387" s="1"/>
      <c r="H387" s="1"/>
      <c r="I387" s="1"/>
      <c r="J387" s="1"/>
      <c r="K387" s="1"/>
      <c r="L387" s="3"/>
      <c r="M387" s="3"/>
      <c r="N387" s="1"/>
      <c r="O387" s="3"/>
      <c r="P387" s="1"/>
      <c r="Q387" s="1"/>
      <c r="R387" s="3"/>
      <c r="S387" s="3"/>
      <c r="T387" s="1"/>
      <c r="U387" s="1"/>
      <c r="V387" s="1"/>
      <c r="W387" s="1"/>
      <c r="X387" s="1"/>
      <c r="Y387" s="1"/>
      <c r="Z387" s="1"/>
      <c r="AA387" s="8"/>
    </row>
    <row r="388" spans="1:27" s="7" customFormat="1" hidden="1">
      <c r="A388" s="1" t="s">
        <v>627</v>
      </c>
      <c r="B388" s="2">
        <v>-26.4</v>
      </c>
      <c r="C388" s="2">
        <v>-48.6</v>
      </c>
      <c r="D388" s="1" t="s">
        <v>628</v>
      </c>
      <c r="E388" s="1" t="s">
        <v>629</v>
      </c>
      <c r="F388" s="1"/>
      <c r="G388" s="1" t="s">
        <v>26</v>
      </c>
      <c r="H388" s="1"/>
      <c r="I388" s="1" t="s">
        <v>20</v>
      </c>
      <c r="J388" s="2" t="s">
        <v>20</v>
      </c>
      <c r="K388" s="1" t="s">
        <v>27</v>
      </c>
      <c r="L388" s="3">
        <v>40.200000000000003</v>
      </c>
      <c r="M388" s="3">
        <v>14</v>
      </c>
      <c r="N388" s="3">
        <v>0.2</v>
      </c>
      <c r="O388" s="3">
        <v>3.4</v>
      </c>
      <c r="P388" s="6">
        <v>536</v>
      </c>
      <c r="Q388" s="6">
        <f t="shared" ref="Q388:Q435" si="29">M388/N388*32/14</f>
        <v>160</v>
      </c>
      <c r="R388" s="3">
        <v>-14.8</v>
      </c>
      <c r="S388" s="3">
        <v>13.9</v>
      </c>
      <c r="T388" s="3">
        <v>8.6999999999999993</v>
      </c>
      <c r="U388" s="1">
        <f t="shared" ref="U388:U435" si="30">R388-1</f>
        <v>-15.8</v>
      </c>
      <c r="V388" s="1">
        <f t="shared" ref="V388:V435" si="31">S388-3.4</f>
        <v>10.5</v>
      </c>
      <c r="W388" s="1">
        <f t="shared" ref="W388:W435" si="32">T388+1.5</f>
        <v>10.199999999999999</v>
      </c>
      <c r="X388" s="3" t="s">
        <v>11</v>
      </c>
      <c r="Y388" s="1" t="s">
        <v>12</v>
      </c>
      <c r="Z388" s="1" t="s">
        <v>888</v>
      </c>
      <c r="AA388" s="1"/>
    </row>
    <row r="389" spans="1:27" hidden="1">
      <c r="A389" s="1" t="s">
        <v>627</v>
      </c>
      <c r="B389" s="2">
        <v>-26.4</v>
      </c>
      <c r="C389" s="2">
        <v>-48.6</v>
      </c>
      <c r="D389" s="1" t="s">
        <v>630</v>
      </c>
      <c r="E389" s="1" t="s">
        <v>631</v>
      </c>
      <c r="G389" s="1" t="s">
        <v>26</v>
      </c>
      <c r="I389" s="1" t="s">
        <v>20</v>
      </c>
      <c r="J389" s="2" t="s">
        <v>20</v>
      </c>
      <c r="K389" s="1" t="s">
        <v>27</v>
      </c>
      <c r="L389" s="3">
        <v>41.3</v>
      </c>
      <c r="M389" s="3">
        <v>14</v>
      </c>
      <c r="N389" s="3">
        <v>0.2</v>
      </c>
      <c r="O389" s="3">
        <v>3.4</v>
      </c>
      <c r="P389" s="6">
        <v>550.66666666666663</v>
      </c>
      <c r="Q389" s="6">
        <f t="shared" si="29"/>
        <v>160</v>
      </c>
      <c r="R389" s="3">
        <v>-13.9</v>
      </c>
      <c r="S389" s="3">
        <v>15</v>
      </c>
      <c r="T389" s="3">
        <v>9.6999999999999993</v>
      </c>
      <c r="U389" s="1">
        <f t="shared" si="30"/>
        <v>-14.9</v>
      </c>
      <c r="V389" s="1">
        <f t="shared" si="31"/>
        <v>11.6</v>
      </c>
      <c r="W389" s="1">
        <f t="shared" si="32"/>
        <v>11.2</v>
      </c>
      <c r="X389" s="3" t="s">
        <v>11</v>
      </c>
      <c r="Y389" s="1" t="s">
        <v>12</v>
      </c>
      <c r="Z389" s="1" t="s">
        <v>888</v>
      </c>
    </row>
    <row r="390" spans="1:27" hidden="1">
      <c r="A390" s="1" t="s">
        <v>887</v>
      </c>
      <c r="B390" s="2">
        <v>-26.4</v>
      </c>
      <c r="C390" s="2">
        <v>-48.6</v>
      </c>
      <c r="D390" s="1" t="s">
        <v>632</v>
      </c>
      <c r="E390" s="1" t="s">
        <v>633</v>
      </c>
      <c r="G390" s="1" t="s">
        <v>26</v>
      </c>
      <c r="I390" s="1" t="s">
        <v>20</v>
      </c>
      <c r="J390" s="2" t="s">
        <v>20</v>
      </c>
      <c r="K390" s="1" t="s">
        <v>27</v>
      </c>
      <c r="L390" s="3">
        <v>42.2</v>
      </c>
      <c r="M390" s="3">
        <v>14.7</v>
      </c>
      <c r="N390" s="3">
        <v>0.2</v>
      </c>
      <c r="O390" s="3">
        <v>3.3</v>
      </c>
      <c r="P390" s="6">
        <v>562.66666666666663</v>
      </c>
      <c r="Q390" s="6">
        <f t="shared" si="29"/>
        <v>167.99999999999997</v>
      </c>
      <c r="R390" s="3">
        <v>-14.3</v>
      </c>
      <c r="S390" s="3">
        <v>13.8</v>
      </c>
      <c r="T390" s="3">
        <v>10.8</v>
      </c>
      <c r="U390" s="1">
        <f t="shared" si="30"/>
        <v>-15.3</v>
      </c>
      <c r="V390" s="1">
        <f t="shared" si="31"/>
        <v>10.4</v>
      </c>
      <c r="W390" s="1">
        <f t="shared" si="32"/>
        <v>12.3</v>
      </c>
      <c r="X390" s="3" t="s">
        <v>11</v>
      </c>
      <c r="Y390" s="1" t="s">
        <v>12</v>
      </c>
      <c r="Z390" s="1" t="s">
        <v>888</v>
      </c>
    </row>
    <row r="391" spans="1:27" hidden="1">
      <c r="A391" s="1" t="s">
        <v>634</v>
      </c>
      <c r="B391" s="2">
        <v>-26.4</v>
      </c>
      <c r="C391" s="2">
        <v>-48.6</v>
      </c>
      <c r="D391" s="1" t="s">
        <v>635</v>
      </c>
      <c r="E391" s="1">
        <v>6944</v>
      </c>
      <c r="G391" s="1" t="s">
        <v>26</v>
      </c>
      <c r="I391" s="1" t="s">
        <v>20</v>
      </c>
      <c r="J391" s="2" t="s">
        <v>20</v>
      </c>
      <c r="K391" s="1" t="s">
        <v>27</v>
      </c>
      <c r="L391" s="3">
        <v>43.3</v>
      </c>
      <c r="M391" s="3">
        <v>14.4</v>
      </c>
      <c r="N391" s="3">
        <v>0.21</v>
      </c>
      <c r="O391" s="3">
        <v>3.5</v>
      </c>
      <c r="P391" s="6">
        <v>549.84126984126976</v>
      </c>
      <c r="Q391" s="6">
        <f t="shared" si="29"/>
        <v>156.73469387755102</v>
      </c>
      <c r="R391" s="3">
        <v>-13.2</v>
      </c>
      <c r="S391" s="3">
        <v>14.6</v>
      </c>
      <c r="T391" s="3">
        <v>10.6</v>
      </c>
      <c r="U391" s="1">
        <f t="shared" si="30"/>
        <v>-14.2</v>
      </c>
      <c r="V391" s="1">
        <f t="shared" si="31"/>
        <v>11.2</v>
      </c>
      <c r="W391" s="1">
        <f t="shared" si="32"/>
        <v>12.1</v>
      </c>
      <c r="X391" s="3" t="s">
        <v>11</v>
      </c>
      <c r="Y391" s="1" t="s">
        <v>12</v>
      </c>
      <c r="Z391" s="1" t="s">
        <v>888</v>
      </c>
    </row>
    <row r="392" spans="1:27" hidden="1">
      <c r="A392" s="1" t="s">
        <v>636</v>
      </c>
      <c r="B392" s="2">
        <v>-26.4</v>
      </c>
      <c r="C392" s="2">
        <v>-48.6</v>
      </c>
      <c r="D392" s="1" t="s">
        <v>637</v>
      </c>
      <c r="E392" s="1">
        <v>4209</v>
      </c>
      <c r="G392" s="1" t="s">
        <v>26</v>
      </c>
      <c r="I392" s="1" t="s">
        <v>20</v>
      </c>
      <c r="J392" s="2" t="s">
        <v>20</v>
      </c>
      <c r="K392" s="1" t="s">
        <v>27</v>
      </c>
      <c r="L392" s="3">
        <v>39.700000000000003</v>
      </c>
      <c r="M392" s="3">
        <v>13.5</v>
      </c>
      <c r="N392" s="3">
        <v>0.19</v>
      </c>
      <c r="O392" s="3">
        <v>3.4</v>
      </c>
      <c r="P392" s="6">
        <v>557.19298245614038</v>
      </c>
      <c r="Q392" s="6">
        <f t="shared" si="29"/>
        <v>162.40601503759399</v>
      </c>
      <c r="R392" s="3">
        <v>-16</v>
      </c>
      <c r="S392" s="3">
        <v>14.6</v>
      </c>
      <c r="T392" s="3">
        <v>10.4</v>
      </c>
      <c r="U392" s="1">
        <f t="shared" si="30"/>
        <v>-17</v>
      </c>
      <c r="V392" s="1">
        <f t="shared" si="31"/>
        <v>11.2</v>
      </c>
      <c r="W392" s="1">
        <f t="shared" si="32"/>
        <v>11.9</v>
      </c>
      <c r="X392" s="3" t="s">
        <v>11</v>
      </c>
      <c r="Y392" s="1" t="s">
        <v>12</v>
      </c>
      <c r="Z392" s="1" t="s">
        <v>888</v>
      </c>
    </row>
    <row r="393" spans="1:27" hidden="1">
      <c r="A393" s="1" t="s">
        <v>638</v>
      </c>
      <c r="B393" s="2">
        <v>-26.4</v>
      </c>
      <c r="C393" s="2">
        <v>-48.6</v>
      </c>
      <c r="D393" s="1" t="s">
        <v>639</v>
      </c>
      <c r="E393" s="1" t="s">
        <v>640</v>
      </c>
      <c r="G393" s="1" t="s">
        <v>26</v>
      </c>
      <c r="I393" s="1" t="s">
        <v>20</v>
      </c>
      <c r="J393" s="2" t="s">
        <v>20</v>
      </c>
      <c r="K393" s="1" t="s">
        <v>27</v>
      </c>
      <c r="L393" s="3">
        <v>40.9</v>
      </c>
      <c r="M393" s="3">
        <v>14.1</v>
      </c>
      <c r="N393" s="3">
        <v>0.2</v>
      </c>
      <c r="O393" s="3">
        <v>3.4</v>
      </c>
      <c r="P393" s="6">
        <v>545.33333333333326</v>
      </c>
      <c r="Q393" s="6">
        <f t="shared" si="29"/>
        <v>161.14285714285714</v>
      </c>
      <c r="R393" s="3">
        <v>-13.2</v>
      </c>
      <c r="S393" s="3">
        <v>13.2</v>
      </c>
      <c r="T393" s="3">
        <v>7.4</v>
      </c>
      <c r="U393" s="1">
        <f t="shared" si="30"/>
        <v>-14.2</v>
      </c>
      <c r="V393" s="1">
        <f t="shared" si="31"/>
        <v>9.7999999999999989</v>
      </c>
      <c r="W393" s="1">
        <f t="shared" si="32"/>
        <v>8.9</v>
      </c>
      <c r="X393" s="3" t="s">
        <v>11</v>
      </c>
      <c r="Y393" s="1" t="s">
        <v>12</v>
      </c>
      <c r="Z393" s="1" t="s">
        <v>888</v>
      </c>
    </row>
    <row r="394" spans="1:27" hidden="1">
      <c r="A394" s="1" t="s">
        <v>638</v>
      </c>
      <c r="B394" s="2">
        <v>-26.4</v>
      </c>
      <c r="C394" s="2">
        <v>-48.6</v>
      </c>
      <c r="D394" s="1" t="s">
        <v>641</v>
      </c>
      <c r="E394" s="1" t="s">
        <v>642</v>
      </c>
      <c r="G394" s="1" t="s">
        <v>26</v>
      </c>
      <c r="I394" s="1" t="s">
        <v>20</v>
      </c>
      <c r="J394" s="2" t="s">
        <v>20</v>
      </c>
      <c r="K394" s="1" t="s">
        <v>27</v>
      </c>
      <c r="L394" s="3">
        <v>43.4</v>
      </c>
      <c r="M394" s="3">
        <v>15.1</v>
      </c>
      <c r="N394" s="3">
        <v>0.21</v>
      </c>
      <c r="O394" s="3">
        <v>3.4</v>
      </c>
      <c r="P394" s="6">
        <v>551.11111111111109</v>
      </c>
      <c r="Q394" s="6">
        <f t="shared" si="29"/>
        <v>164.35374149659864</v>
      </c>
      <c r="R394" s="3">
        <v>-11.6</v>
      </c>
      <c r="S394" s="3">
        <v>13.4</v>
      </c>
      <c r="T394" s="3">
        <v>8.6999999999999993</v>
      </c>
      <c r="U394" s="1">
        <f t="shared" si="30"/>
        <v>-12.6</v>
      </c>
      <c r="V394" s="1">
        <f t="shared" si="31"/>
        <v>10</v>
      </c>
      <c r="W394" s="1">
        <f t="shared" si="32"/>
        <v>10.199999999999999</v>
      </c>
      <c r="X394" s="3" t="s">
        <v>11</v>
      </c>
      <c r="Y394" s="1" t="s">
        <v>12</v>
      </c>
      <c r="Z394" s="1" t="s">
        <v>888</v>
      </c>
    </row>
    <row r="395" spans="1:27" hidden="1">
      <c r="A395" s="1" t="s">
        <v>643</v>
      </c>
      <c r="B395" s="2">
        <v>-26.4</v>
      </c>
      <c r="C395" s="2">
        <v>-48.6</v>
      </c>
      <c r="D395" s="1" t="s">
        <v>644</v>
      </c>
      <c r="E395" s="1" t="s">
        <v>645</v>
      </c>
      <c r="G395" s="1" t="s">
        <v>26</v>
      </c>
      <c r="I395" s="1" t="s">
        <v>20</v>
      </c>
      <c r="J395" s="2" t="s">
        <v>20</v>
      </c>
      <c r="K395" s="1" t="s">
        <v>27</v>
      </c>
      <c r="L395" s="3">
        <v>43.2</v>
      </c>
      <c r="M395" s="3">
        <v>14.8</v>
      </c>
      <c r="N395" s="3">
        <v>0.22</v>
      </c>
      <c r="O395" s="3">
        <v>3.4</v>
      </c>
      <c r="P395" s="6">
        <v>523.63636363636363</v>
      </c>
      <c r="Q395" s="6">
        <f t="shared" si="29"/>
        <v>153.7662337662338</v>
      </c>
      <c r="R395" s="3">
        <v>-13.1</v>
      </c>
      <c r="S395" s="3">
        <v>13.4</v>
      </c>
      <c r="T395" s="3">
        <v>8.1999999999999993</v>
      </c>
      <c r="U395" s="1">
        <f t="shared" si="30"/>
        <v>-14.1</v>
      </c>
      <c r="V395" s="1">
        <f t="shared" si="31"/>
        <v>10</v>
      </c>
      <c r="W395" s="1">
        <f t="shared" si="32"/>
        <v>9.6999999999999993</v>
      </c>
      <c r="X395" s="3" t="s">
        <v>11</v>
      </c>
      <c r="Y395" s="1" t="s">
        <v>12</v>
      </c>
      <c r="Z395" s="1" t="s">
        <v>888</v>
      </c>
    </row>
    <row r="396" spans="1:27" hidden="1">
      <c r="A396" s="1" t="s">
        <v>646</v>
      </c>
      <c r="B396" s="2">
        <v>-27.572554</v>
      </c>
      <c r="C396" s="2">
        <v>-48.527026999999997</v>
      </c>
      <c r="D396" s="1" t="s">
        <v>647</v>
      </c>
      <c r="E396" s="1" t="s">
        <v>648</v>
      </c>
      <c r="G396" s="1" t="s">
        <v>26</v>
      </c>
      <c r="I396" s="1" t="s">
        <v>20</v>
      </c>
      <c r="J396" s="2" t="s">
        <v>20</v>
      </c>
      <c r="K396" s="1" t="s">
        <v>31</v>
      </c>
      <c r="L396" s="3">
        <v>42.5</v>
      </c>
      <c r="M396" s="3">
        <v>14.8</v>
      </c>
      <c r="N396" s="3">
        <v>0.2</v>
      </c>
      <c r="O396" s="3">
        <v>3.3</v>
      </c>
      <c r="P396" s="6">
        <v>566.66666666666663</v>
      </c>
      <c r="Q396" s="6">
        <f t="shared" si="29"/>
        <v>169.14285714285714</v>
      </c>
      <c r="R396" s="3">
        <v>-14.9</v>
      </c>
      <c r="S396" s="3">
        <v>11.8</v>
      </c>
      <c r="T396" s="10">
        <v>12.9</v>
      </c>
      <c r="U396" s="1">
        <f t="shared" si="30"/>
        <v>-15.9</v>
      </c>
      <c r="V396" s="1">
        <f t="shared" si="31"/>
        <v>8.4</v>
      </c>
      <c r="W396" s="1">
        <f t="shared" si="32"/>
        <v>14.4</v>
      </c>
      <c r="X396" s="3" t="s">
        <v>11</v>
      </c>
      <c r="Y396" s="1" t="s">
        <v>12</v>
      </c>
      <c r="Z396" s="1" t="s">
        <v>888</v>
      </c>
    </row>
    <row r="397" spans="1:27" hidden="1">
      <c r="A397" s="1" t="s">
        <v>649</v>
      </c>
      <c r="B397" s="2">
        <v>-28.558107</v>
      </c>
      <c r="C397" s="2">
        <v>-49.053998</v>
      </c>
      <c r="D397" s="1" t="s">
        <v>650</v>
      </c>
      <c r="E397" s="1" t="s">
        <v>651</v>
      </c>
      <c r="G397" s="1" t="s">
        <v>26</v>
      </c>
      <c r="I397" s="1" t="s">
        <v>41</v>
      </c>
      <c r="J397" s="1" t="s">
        <v>33</v>
      </c>
      <c r="K397" s="1" t="s">
        <v>31</v>
      </c>
      <c r="L397" s="3">
        <v>40.5</v>
      </c>
      <c r="M397" s="3">
        <v>14.5</v>
      </c>
      <c r="N397" s="3">
        <v>0.2</v>
      </c>
      <c r="O397" s="3">
        <v>3.3</v>
      </c>
      <c r="P397" s="6">
        <v>540</v>
      </c>
      <c r="Q397" s="6">
        <f t="shared" si="29"/>
        <v>165.71428571428572</v>
      </c>
      <c r="R397" s="3">
        <v>-12.4</v>
      </c>
      <c r="S397" s="3">
        <v>14.5</v>
      </c>
      <c r="T397" s="3">
        <v>11.6</v>
      </c>
      <c r="U397" s="1">
        <f t="shared" si="30"/>
        <v>-13.4</v>
      </c>
      <c r="V397" s="1">
        <f t="shared" si="31"/>
        <v>11.1</v>
      </c>
      <c r="W397" s="1">
        <f t="shared" si="32"/>
        <v>13.1</v>
      </c>
      <c r="X397" s="3" t="s">
        <v>11</v>
      </c>
      <c r="Y397" s="1" t="s">
        <v>12</v>
      </c>
      <c r="Z397" s="1" t="s">
        <v>888</v>
      </c>
    </row>
    <row r="398" spans="1:27" hidden="1">
      <c r="A398" s="1" t="s">
        <v>649</v>
      </c>
      <c r="B398" s="2">
        <v>-28.558107</v>
      </c>
      <c r="C398" s="2">
        <v>-49.053998</v>
      </c>
      <c r="D398" s="1" t="s">
        <v>652</v>
      </c>
      <c r="E398" s="1" t="s">
        <v>653</v>
      </c>
      <c r="G398" s="1" t="s">
        <v>26</v>
      </c>
      <c r="I398" s="1" t="s">
        <v>41</v>
      </c>
      <c r="J398" s="1" t="s">
        <v>33</v>
      </c>
      <c r="K398" s="1" t="s">
        <v>31</v>
      </c>
      <c r="L398" s="3">
        <v>42.1</v>
      </c>
      <c r="M398" s="3">
        <v>15.1</v>
      </c>
      <c r="N398" s="3">
        <v>0.2</v>
      </c>
      <c r="O398" s="3">
        <v>3.2</v>
      </c>
      <c r="P398" s="6">
        <v>561.33333333333337</v>
      </c>
      <c r="Q398" s="6">
        <f t="shared" si="29"/>
        <v>172.57142857142858</v>
      </c>
      <c r="R398" s="3">
        <v>-12</v>
      </c>
      <c r="S398" s="3">
        <v>17.5</v>
      </c>
      <c r="T398" s="3">
        <v>12.4</v>
      </c>
      <c r="U398" s="1">
        <f t="shared" si="30"/>
        <v>-13</v>
      </c>
      <c r="V398" s="1">
        <f t="shared" si="31"/>
        <v>14.1</v>
      </c>
      <c r="W398" s="1">
        <f t="shared" si="32"/>
        <v>13.9</v>
      </c>
      <c r="X398" s="3" t="s">
        <v>11</v>
      </c>
      <c r="Y398" s="1" t="s">
        <v>12</v>
      </c>
      <c r="Z398" s="1" t="s">
        <v>888</v>
      </c>
    </row>
    <row r="399" spans="1:27" hidden="1">
      <c r="A399" s="1" t="s">
        <v>649</v>
      </c>
      <c r="B399" s="2">
        <v>-28.558107</v>
      </c>
      <c r="C399" s="2">
        <v>-49.053998</v>
      </c>
      <c r="D399" s="1" t="s">
        <v>654</v>
      </c>
      <c r="E399" s="1" t="s">
        <v>655</v>
      </c>
      <c r="G399" s="1" t="s">
        <v>26</v>
      </c>
      <c r="I399" s="1" t="s">
        <v>41</v>
      </c>
      <c r="J399" s="1" t="s">
        <v>42</v>
      </c>
      <c r="K399" s="1" t="s">
        <v>31</v>
      </c>
      <c r="L399" s="3">
        <v>21.55</v>
      </c>
      <c r="M399" s="3">
        <v>7.85</v>
      </c>
      <c r="N399" s="3">
        <v>0.15</v>
      </c>
      <c r="O399" s="3">
        <v>3.2</v>
      </c>
      <c r="P399" s="6">
        <v>383.11111111111114</v>
      </c>
      <c r="Q399" s="6">
        <f t="shared" si="29"/>
        <v>119.61904761904762</v>
      </c>
      <c r="R399" s="3">
        <v>-12.71</v>
      </c>
      <c r="S399" s="3">
        <v>17.13</v>
      </c>
      <c r="T399" s="3">
        <v>11.27</v>
      </c>
      <c r="U399" s="1">
        <f t="shared" si="30"/>
        <v>-13.71</v>
      </c>
      <c r="V399" s="1">
        <f t="shared" si="31"/>
        <v>13.729999999999999</v>
      </c>
      <c r="W399" s="1">
        <f t="shared" si="32"/>
        <v>12.77</v>
      </c>
      <c r="X399" s="3" t="s">
        <v>11</v>
      </c>
      <c r="Y399" s="1" t="s">
        <v>12</v>
      </c>
      <c r="Z399" s="1" t="s">
        <v>888</v>
      </c>
    </row>
    <row r="400" spans="1:27" hidden="1">
      <c r="A400" s="1" t="s">
        <v>649</v>
      </c>
      <c r="B400" s="2">
        <v>-28.558107</v>
      </c>
      <c r="C400" s="2">
        <v>-49.053998</v>
      </c>
      <c r="D400" s="1" t="s">
        <v>656</v>
      </c>
      <c r="E400" s="1" t="s">
        <v>657</v>
      </c>
      <c r="G400" s="1" t="s">
        <v>26</v>
      </c>
      <c r="I400" s="1" t="s">
        <v>200</v>
      </c>
      <c r="J400" s="2" t="s">
        <v>20</v>
      </c>
      <c r="K400" s="1" t="s">
        <v>31</v>
      </c>
      <c r="L400" s="3">
        <v>40.6</v>
      </c>
      <c r="M400" s="3">
        <v>14.7</v>
      </c>
      <c r="N400" s="3">
        <v>0.2</v>
      </c>
      <c r="O400" s="3">
        <v>3.2</v>
      </c>
      <c r="P400" s="6">
        <v>541.33333333333337</v>
      </c>
      <c r="Q400" s="6">
        <f t="shared" si="29"/>
        <v>167.99999999999997</v>
      </c>
      <c r="R400" s="3">
        <v>-12.2</v>
      </c>
      <c r="S400" s="3">
        <v>17.600000000000001</v>
      </c>
      <c r="T400" s="3">
        <v>10.5</v>
      </c>
      <c r="U400" s="1">
        <f t="shared" si="30"/>
        <v>-13.2</v>
      </c>
      <c r="V400" s="1">
        <f t="shared" si="31"/>
        <v>14.200000000000001</v>
      </c>
      <c r="W400" s="1">
        <f t="shared" si="32"/>
        <v>12</v>
      </c>
      <c r="X400" s="3" t="s">
        <v>11</v>
      </c>
      <c r="Y400" s="1" t="s">
        <v>12</v>
      </c>
      <c r="Z400" s="1" t="s">
        <v>888</v>
      </c>
    </row>
    <row r="401" spans="1:26" hidden="1">
      <c r="A401" s="1" t="s">
        <v>649</v>
      </c>
      <c r="B401" s="2">
        <v>-28.558107</v>
      </c>
      <c r="C401" s="2">
        <v>-49.053998</v>
      </c>
      <c r="D401" s="1" t="s">
        <v>658</v>
      </c>
      <c r="E401" s="1" t="s">
        <v>659</v>
      </c>
      <c r="G401" s="1" t="s">
        <v>26</v>
      </c>
      <c r="I401" s="1" t="s">
        <v>41</v>
      </c>
      <c r="J401" s="1" t="s">
        <v>33</v>
      </c>
      <c r="K401" s="1" t="s">
        <v>31</v>
      </c>
      <c r="L401" s="3">
        <v>32.1</v>
      </c>
      <c r="M401" s="3">
        <v>11.5</v>
      </c>
      <c r="N401" s="3">
        <v>0.19</v>
      </c>
      <c r="O401" s="3">
        <v>3.26</v>
      </c>
      <c r="P401" s="6">
        <v>450.5263157894737</v>
      </c>
      <c r="Q401" s="6">
        <f t="shared" si="29"/>
        <v>138.34586466165413</v>
      </c>
      <c r="R401" s="3">
        <v>-12.85</v>
      </c>
      <c r="S401" s="3">
        <v>16.510000000000002</v>
      </c>
      <c r="T401" s="3">
        <v>11.04</v>
      </c>
      <c r="U401" s="1">
        <f t="shared" si="30"/>
        <v>-13.85</v>
      </c>
      <c r="V401" s="1">
        <f t="shared" si="31"/>
        <v>13.110000000000001</v>
      </c>
      <c r="W401" s="1">
        <f t="shared" si="32"/>
        <v>12.54</v>
      </c>
      <c r="X401" s="3" t="s">
        <v>11</v>
      </c>
      <c r="Y401" s="1" t="s">
        <v>12</v>
      </c>
      <c r="Z401" s="1" t="s">
        <v>888</v>
      </c>
    </row>
    <row r="402" spans="1:26" hidden="1">
      <c r="A402" s="1" t="s">
        <v>649</v>
      </c>
      <c r="B402" s="2">
        <v>-28.558107</v>
      </c>
      <c r="C402" s="2">
        <v>-49.053998</v>
      </c>
      <c r="D402" s="1" t="s">
        <v>660</v>
      </c>
      <c r="E402" s="1" t="s">
        <v>661</v>
      </c>
      <c r="G402" s="1" t="s">
        <v>26</v>
      </c>
      <c r="I402" s="1" t="s">
        <v>200</v>
      </c>
      <c r="J402" s="2" t="s">
        <v>20</v>
      </c>
      <c r="K402" s="1" t="s">
        <v>31</v>
      </c>
      <c r="L402" s="3">
        <v>35.619999999999997</v>
      </c>
      <c r="M402" s="3">
        <v>12.62</v>
      </c>
      <c r="N402" s="3">
        <v>0.19</v>
      </c>
      <c r="O402" s="3">
        <v>3.29</v>
      </c>
      <c r="P402" s="6">
        <v>499.92982456140345</v>
      </c>
      <c r="Q402" s="6">
        <f t="shared" si="29"/>
        <v>151.81954887218043</v>
      </c>
      <c r="R402" s="3">
        <v>-11.29</v>
      </c>
      <c r="S402" s="3">
        <v>16.02</v>
      </c>
      <c r="T402" s="3">
        <v>10.19</v>
      </c>
      <c r="U402" s="1">
        <f t="shared" si="30"/>
        <v>-12.29</v>
      </c>
      <c r="V402" s="1">
        <f t="shared" si="31"/>
        <v>12.62</v>
      </c>
      <c r="W402" s="1">
        <f t="shared" si="32"/>
        <v>11.69</v>
      </c>
      <c r="X402" s="3" t="s">
        <v>11</v>
      </c>
      <c r="Y402" s="1" t="s">
        <v>12</v>
      </c>
      <c r="Z402" s="1" t="s">
        <v>888</v>
      </c>
    </row>
    <row r="403" spans="1:26" hidden="1">
      <c r="A403" s="1" t="s">
        <v>649</v>
      </c>
      <c r="B403" s="2">
        <v>-28.558107</v>
      </c>
      <c r="C403" s="2">
        <v>-49.053998</v>
      </c>
      <c r="D403" s="1" t="s">
        <v>662</v>
      </c>
      <c r="E403" s="1" t="s">
        <v>663</v>
      </c>
      <c r="G403" s="1" t="s">
        <v>26</v>
      </c>
      <c r="I403" s="1" t="s">
        <v>20</v>
      </c>
      <c r="J403" s="2" t="s">
        <v>20</v>
      </c>
      <c r="K403" s="1" t="s">
        <v>31</v>
      </c>
      <c r="L403" s="3">
        <v>38.909999999999997</v>
      </c>
      <c r="M403" s="3">
        <v>13.5</v>
      </c>
      <c r="N403" s="3">
        <v>0.23</v>
      </c>
      <c r="O403" s="3">
        <v>3.36</v>
      </c>
      <c r="P403" s="6">
        <v>451.13043478260869</v>
      </c>
      <c r="Q403" s="6">
        <f t="shared" si="29"/>
        <v>134.1614906832298</v>
      </c>
      <c r="R403" s="3">
        <v>-12.48</v>
      </c>
      <c r="S403" s="3">
        <v>17.420000000000002</v>
      </c>
      <c r="T403" s="3">
        <v>10.83</v>
      </c>
      <c r="U403" s="1">
        <f t="shared" si="30"/>
        <v>-13.48</v>
      </c>
      <c r="V403" s="1">
        <f t="shared" si="31"/>
        <v>14.020000000000001</v>
      </c>
      <c r="W403" s="1">
        <f t="shared" si="32"/>
        <v>12.33</v>
      </c>
      <c r="X403" s="3" t="s">
        <v>11</v>
      </c>
      <c r="Y403" s="1" t="s">
        <v>12</v>
      </c>
      <c r="Z403" s="1" t="s">
        <v>888</v>
      </c>
    </row>
    <row r="404" spans="1:26" hidden="1">
      <c r="A404" s="1" t="s">
        <v>649</v>
      </c>
      <c r="B404" s="2">
        <v>-28.558107</v>
      </c>
      <c r="C404" s="2">
        <v>-49.053998</v>
      </c>
      <c r="D404" s="1" t="s">
        <v>664</v>
      </c>
      <c r="E404" s="1" t="s">
        <v>665</v>
      </c>
      <c r="G404" s="1" t="s">
        <v>26</v>
      </c>
      <c r="I404" s="1" t="s">
        <v>41</v>
      </c>
      <c r="J404" s="1" t="s">
        <v>33</v>
      </c>
      <c r="K404" s="1" t="s">
        <v>31</v>
      </c>
      <c r="L404" s="3">
        <v>32.58</v>
      </c>
      <c r="M404" s="3">
        <v>11.55</v>
      </c>
      <c r="N404" s="3">
        <v>0.17</v>
      </c>
      <c r="O404" s="3">
        <v>3.29</v>
      </c>
      <c r="P404" s="6">
        <v>511.05882352941171</v>
      </c>
      <c r="Q404" s="6">
        <f t="shared" si="29"/>
        <v>155.29411764705881</v>
      </c>
      <c r="R404" s="3">
        <v>-15.49</v>
      </c>
      <c r="S404" s="3">
        <v>15.07</v>
      </c>
      <c r="T404" s="3">
        <v>11.34</v>
      </c>
      <c r="U404" s="1">
        <f t="shared" si="30"/>
        <v>-16.490000000000002</v>
      </c>
      <c r="V404" s="1">
        <f t="shared" si="31"/>
        <v>11.67</v>
      </c>
      <c r="W404" s="1">
        <f t="shared" si="32"/>
        <v>12.84</v>
      </c>
      <c r="X404" s="3" t="s">
        <v>11</v>
      </c>
      <c r="Y404" s="1" t="s">
        <v>12</v>
      </c>
      <c r="Z404" s="1" t="s">
        <v>888</v>
      </c>
    </row>
    <row r="405" spans="1:26" hidden="1">
      <c r="A405" s="1" t="s">
        <v>649</v>
      </c>
      <c r="B405" s="2">
        <v>-28.558107</v>
      </c>
      <c r="C405" s="2">
        <v>-49.053998</v>
      </c>
      <c r="D405" s="1" t="s">
        <v>666</v>
      </c>
      <c r="E405" s="1" t="s">
        <v>667</v>
      </c>
      <c r="G405" s="1" t="s">
        <v>26</v>
      </c>
      <c r="I405" s="1" t="s">
        <v>41</v>
      </c>
      <c r="J405" s="2" t="s">
        <v>20</v>
      </c>
      <c r="K405" s="1" t="s">
        <v>31</v>
      </c>
      <c r="L405" s="3">
        <v>42.8</v>
      </c>
      <c r="M405" s="3">
        <v>15.2</v>
      </c>
      <c r="N405" s="3">
        <v>0.2</v>
      </c>
      <c r="O405" s="3">
        <v>3.3</v>
      </c>
      <c r="P405" s="6">
        <v>570.66666666666663</v>
      </c>
      <c r="Q405" s="6">
        <f t="shared" si="29"/>
        <v>173.71428571428569</v>
      </c>
      <c r="R405" s="3">
        <v>-11.9</v>
      </c>
      <c r="S405" s="3">
        <v>17.7</v>
      </c>
      <c r="T405" s="3">
        <v>12.3</v>
      </c>
      <c r="U405" s="1">
        <f t="shared" si="30"/>
        <v>-12.9</v>
      </c>
      <c r="V405" s="1">
        <f t="shared" si="31"/>
        <v>14.299999999999999</v>
      </c>
      <c r="W405" s="1">
        <f t="shared" si="32"/>
        <v>13.8</v>
      </c>
      <c r="X405" s="3" t="s">
        <v>11</v>
      </c>
      <c r="Y405" s="1" t="s">
        <v>12</v>
      </c>
      <c r="Z405" s="1" t="s">
        <v>888</v>
      </c>
    </row>
    <row r="406" spans="1:26" hidden="1">
      <c r="A406" s="1" t="s">
        <v>649</v>
      </c>
      <c r="B406" s="2">
        <v>-28.558107</v>
      </c>
      <c r="C406" s="2">
        <v>-49.053998</v>
      </c>
      <c r="D406" s="1" t="s">
        <v>668</v>
      </c>
      <c r="E406" s="1" t="s">
        <v>669</v>
      </c>
      <c r="G406" s="1" t="s">
        <v>26</v>
      </c>
      <c r="I406" s="1" t="s">
        <v>41</v>
      </c>
      <c r="J406" s="1" t="s">
        <v>42</v>
      </c>
      <c r="K406" s="1" t="s">
        <v>31</v>
      </c>
      <c r="L406" s="3">
        <v>38.4</v>
      </c>
      <c r="M406" s="3">
        <v>13.6</v>
      </c>
      <c r="N406" s="3">
        <v>0.2</v>
      </c>
      <c r="O406" s="3">
        <v>3.3</v>
      </c>
      <c r="P406" s="6">
        <v>511.99999999999994</v>
      </c>
      <c r="Q406" s="6">
        <f t="shared" si="29"/>
        <v>155.42857142857142</v>
      </c>
      <c r="R406" s="3">
        <v>-13</v>
      </c>
      <c r="S406" s="3">
        <v>17.3</v>
      </c>
      <c r="T406" s="3">
        <v>11.7</v>
      </c>
      <c r="U406" s="1">
        <f t="shared" si="30"/>
        <v>-14</v>
      </c>
      <c r="V406" s="1">
        <f t="shared" si="31"/>
        <v>13.9</v>
      </c>
      <c r="W406" s="1">
        <f t="shared" si="32"/>
        <v>13.2</v>
      </c>
      <c r="X406" s="3" t="s">
        <v>11</v>
      </c>
      <c r="Y406" s="1" t="s">
        <v>12</v>
      </c>
      <c r="Z406" s="1" t="s">
        <v>888</v>
      </c>
    </row>
    <row r="407" spans="1:26" hidden="1">
      <c r="A407" s="1" t="s">
        <v>649</v>
      </c>
      <c r="B407" s="2">
        <v>-28.558107</v>
      </c>
      <c r="C407" s="2">
        <v>-49.053998</v>
      </c>
      <c r="D407" s="1" t="s">
        <v>670</v>
      </c>
      <c r="E407" s="1" t="s">
        <v>671</v>
      </c>
      <c r="G407" s="1" t="s">
        <v>26</v>
      </c>
      <c r="I407" s="1" t="s">
        <v>32</v>
      </c>
      <c r="J407" s="1" t="s">
        <v>42</v>
      </c>
      <c r="K407" s="1" t="s">
        <v>31</v>
      </c>
      <c r="L407" s="3">
        <v>31.44</v>
      </c>
      <c r="M407" s="3">
        <v>11.13</v>
      </c>
      <c r="N407" s="3">
        <v>0.22</v>
      </c>
      <c r="O407" s="3">
        <v>3.29</v>
      </c>
      <c r="P407" s="6">
        <v>381.09090909090907</v>
      </c>
      <c r="Q407" s="6">
        <f t="shared" si="29"/>
        <v>115.63636363636364</v>
      </c>
      <c r="R407" s="3">
        <v>-12.54</v>
      </c>
      <c r="S407" s="3">
        <v>17.149999999999999</v>
      </c>
      <c r="T407" s="3">
        <v>11.31</v>
      </c>
      <c r="U407" s="1">
        <f t="shared" si="30"/>
        <v>-13.54</v>
      </c>
      <c r="V407" s="1">
        <f t="shared" si="31"/>
        <v>13.749999999999998</v>
      </c>
      <c r="W407" s="1">
        <f t="shared" si="32"/>
        <v>12.81</v>
      </c>
      <c r="X407" s="3" t="s">
        <v>11</v>
      </c>
      <c r="Y407" s="1" t="s">
        <v>12</v>
      </c>
      <c r="Z407" s="1" t="s">
        <v>888</v>
      </c>
    </row>
    <row r="408" spans="1:26" hidden="1">
      <c r="A408" s="1" t="s">
        <v>649</v>
      </c>
      <c r="B408" s="2">
        <v>-28.558107</v>
      </c>
      <c r="C408" s="2">
        <v>-49.053998</v>
      </c>
      <c r="D408" s="1" t="s">
        <v>672</v>
      </c>
      <c r="E408" s="1" t="s">
        <v>673</v>
      </c>
      <c r="G408" s="1" t="s">
        <v>26</v>
      </c>
      <c r="I408" s="1" t="s">
        <v>41</v>
      </c>
      <c r="J408" s="1" t="s">
        <v>33</v>
      </c>
      <c r="K408" s="1" t="s">
        <v>31</v>
      </c>
      <c r="L408" s="3">
        <v>40.799999999999997</v>
      </c>
      <c r="M408" s="3">
        <v>14.7</v>
      </c>
      <c r="N408" s="3">
        <v>0.2</v>
      </c>
      <c r="O408" s="3">
        <v>3.27</v>
      </c>
      <c r="P408" s="6">
        <v>543.99999999999989</v>
      </c>
      <c r="Q408" s="6">
        <f t="shared" si="29"/>
        <v>167.99999999999997</v>
      </c>
      <c r="R408" s="3">
        <v>-12</v>
      </c>
      <c r="S408" s="3">
        <v>17.5</v>
      </c>
      <c r="T408" s="3">
        <v>12.6</v>
      </c>
      <c r="U408" s="1">
        <f t="shared" si="30"/>
        <v>-13</v>
      </c>
      <c r="V408" s="1">
        <f t="shared" si="31"/>
        <v>14.1</v>
      </c>
      <c r="W408" s="1">
        <f t="shared" si="32"/>
        <v>14.1</v>
      </c>
      <c r="X408" s="3" t="s">
        <v>11</v>
      </c>
      <c r="Y408" s="1" t="s">
        <v>12</v>
      </c>
      <c r="Z408" s="1" t="s">
        <v>888</v>
      </c>
    </row>
    <row r="409" spans="1:26" hidden="1">
      <c r="A409" s="1" t="s">
        <v>649</v>
      </c>
      <c r="B409" s="2">
        <v>-28.558107</v>
      </c>
      <c r="C409" s="2">
        <v>-49.053998</v>
      </c>
      <c r="D409" s="1" t="s">
        <v>674</v>
      </c>
      <c r="E409" s="1" t="s">
        <v>675</v>
      </c>
      <c r="G409" s="1" t="s">
        <v>26</v>
      </c>
      <c r="I409" s="1" t="s">
        <v>41</v>
      </c>
      <c r="J409" s="2" t="s">
        <v>20</v>
      </c>
      <c r="K409" s="1" t="s">
        <v>31</v>
      </c>
      <c r="L409" s="3">
        <v>28.18</v>
      </c>
      <c r="M409" s="3">
        <v>9.89</v>
      </c>
      <c r="N409" s="3">
        <v>0.23</v>
      </c>
      <c r="O409" s="3">
        <v>3.32</v>
      </c>
      <c r="P409" s="6">
        <v>326.72463768115944</v>
      </c>
      <c r="Q409" s="6">
        <f t="shared" si="29"/>
        <v>98.285714285714292</v>
      </c>
      <c r="R409" s="3">
        <v>-14.59</v>
      </c>
      <c r="S409" s="3">
        <v>14.44</v>
      </c>
      <c r="T409" s="3">
        <v>10.72</v>
      </c>
      <c r="U409" s="1">
        <f t="shared" si="30"/>
        <v>-15.59</v>
      </c>
      <c r="V409" s="1">
        <f t="shared" si="31"/>
        <v>11.04</v>
      </c>
      <c r="W409" s="1">
        <f t="shared" si="32"/>
        <v>12.22</v>
      </c>
      <c r="X409" s="3" t="s">
        <v>11</v>
      </c>
      <c r="Y409" s="1" t="s">
        <v>12</v>
      </c>
      <c r="Z409" s="1" t="s">
        <v>888</v>
      </c>
    </row>
    <row r="410" spans="1:26" hidden="1">
      <c r="A410" s="1" t="s">
        <v>649</v>
      </c>
      <c r="B410" s="2">
        <v>-28.558107</v>
      </c>
      <c r="C410" s="2">
        <v>-49.053998</v>
      </c>
      <c r="D410" s="1" t="s">
        <v>676</v>
      </c>
      <c r="E410" s="1" t="s">
        <v>677</v>
      </c>
      <c r="G410" s="1" t="s">
        <v>26</v>
      </c>
      <c r="I410" s="1" t="s">
        <v>41</v>
      </c>
      <c r="J410" s="1" t="s">
        <v>42</v>
      </c>
      <c r="K410" s="1" t="s">
        <v>31</v>
      </c>
      <c r="L410" s="3">
        <v>42.5</v>
      </c>
      <c r="M410" s="3">
        <v>15.2</v>
      </c>
      <c r="N410" s="3">
        <v>0.2</v>
      </c>
      <c r="O410" s="3">
        <v>3.3</v>
      </c>
      <c r="P410" s="6">
        <v>566.66666666666663</v>
      </c>
      <c r="Q410" s="6">
        <f t="shared" si="29"/>
        <v>173.71428571428569</v>
      </c>
      <c r="R410" s="3">
        <v>-12.3</v>
      </c>
      <c r="S410" s="3">
        <v>17.2</v>
      </c>
      <c r="T410" s="3">
        <v>12</v>
      </c>
      <c r="U410" s="1">
        <f t="shared" si="30"/>
        <v>-13.3</v>
      </c>
      <c r="V410" s="1">
        <f t="shared" si="31"/>
        <v>13.799999999999999</v>
      </c>
      <c r="W410" s="1">
        <f t="shared" si="32"/>
        <v>13.5</v>
      </c>
      <c r="X410" s="3" t="s">
        <v>11</v>
      </c>
      <c r="Y410" s="1" t="s">
        <v>12</v>
      </c>
      <c r="Z410" s="1" t="s">
        <v>888</v>
      </c>
    </row>
    <row r="411" spans="1:26" hidden="1">
      <c r="A411" s="1" t="s">
        <v>649</v>
      </c>
      <c r="B411" s="2">
        <v>-28.558107</v>
      </c>
      <c r="C411" s="2">
        <v>-49.053998</v>
      </c>
      <c r="D411" s="1" t="s">
        <v>678</v>
      </c>
      <c r="E411" s="1" t="s">
        <v>679</v>
      </c>
      <c r="G411" s="1" t="s">
        <v>26</v>
      </c>
      <c r="I411" s="1" t="s">
        <v>41</v>
      </c>
      <c r="J411" s="1" t="s">
        <v>33</v>
      </c>
      <c r="K411" s="1" t="s">
        <v>31</v>
      </c>
      <c r="L411" s="3">
        <v>37.799999999999997</v>
      </c>
      <c r="M411" s="3">
        <v>13.8</v>
      </c>
      <c r="N411" s="3">
        <v>0.2</v>
      </c>
      <c r="O411" s="3">
        <v>3.2</v>
      </c>
      <c r="P411" s="6">
        <v>503.99999999999994</v>
      </c>
      <c r="Q411" s="6">
        <f t="shared" si="29"/>
        <v>157.71428571428572</v>
      </c>
      <c r="R411" s="3">
        <v>-12.2</v>
      </c>
      <c r="S411" s="3">
        <v>17.8</v>
      </c>
      <c r="T411" s="3">
        <v>11.7</v>
      </c>
      <c r="U411" s="1">
        <f t="shared" si="30"/>
        <v>-13.2</v>
      </c>
      <c r="V411" s="1">
        <f t="shared" si="31"/>
        <v>14.4</v>
      </c>
      <c r="W411" s="1">
        <f t="shared" si="32"/>
        <v>13.2</v>
      </c>
      <c r="X411" s="3" t="s">
        <v>11</v>
      </c>
      <c r="Y411" s="1" t="s">
        <v>12</v>
      </c>
      <c r="Z411" s="1" t="s">
        <v>888</v>
      </c>
    </row>
    <row r="412" spans="1:26" hidden="1">
      <c r="A412" s="1" t="s">
        <v>649</v>
      </c>
      <c r="B412" s="2">
        <v>-28.558107</v>
      </c>
      <c r="C412" s="2">
        <v>-49.053998</v>
      </c>
      <c r="D412" s="1" t="s">
        <v>680</v>
      </c>
      <c r="E412" s="1" t="s">
        <v>681</v>
      </c>
      <c r="G412" s="1" t="s">
        <v>26</v>
      </c>
      <c r="I412" s="1" t="s">
        <v>41</v>
      </c>
      <c r="J412" s="1" t="s">
        <v>42</v>
      </c>
      <c r="K412" s="1" t="s">
        <v>31</v>
      </c>
      <c r="L412" s="3">
        <v>40.43</v>
      </c>
      <c r="M412" s="3">
        <v>14.08</v>
      </c>
      <c r="N412" s="3">
        <v>0.23</v>
      </c>
      <c r="O412" s="3">
        <v>3.35</v>
      </c>
      <c r="P412" s="6">
        <v>468.75362318840575</v>
      </c>
      <c r="Q412" s="6">
        <f t="shared" si="29"/>
        <v>139.9254658385093</v>
      </c>
      <c r="R412" s="3">
        <v>-13.93</v>
      </c>
      <c r="S412" s="3">
        <v>14.76</v>
      </c>
      <c r="T412" s="3">
        <v>10.11</v>
      </c>
      <c r="U412" s="1">
        <f t="shared" si="30"/>
        <v>-14.93</v>
      </c>
      <c r="V412" s="1">
        <f t="shared" si="31"/>
        <v>11.36</v>
      </c>
      <c r="W412" s="1">
        <f t="shared" si="32"/>
        <v>11.61</v>
      </c>
      <c r="X412" s="3" t="s">
        <v>11</v>
      </c>
      <c r="Y412" s="1" t="s">
        <v>12</v>
      </c>
      <c r="Z412" s="1" t="s">
        <v>888</v>
      </c>
    </row>
    <row r="413" spans="1:26" hidden="1">
      <c r="A413" s="1" t="s">
        <v>649</v>
      </c>
      <c r="B413" s="2">
        <v>-28.558107</v>
      </c>
      <c r="C413" s="2">
        <v>-49.053998</v>
      </c>
      <c r="D413" s="1" t="s">
        <v>682</v>
      </c>
      <c r="E413" s="1" t="s">
        <v>683</v>
      </c>
      <c r="G413" s="1" t="s">
        <v>26</v>
      </c>
      <c r="I413" s="1" t="s">
        <v>41</v>
      </c>
      <c r="J413" s="1" t="s">
        <v>33</v>
      </c>
      <c r="K413" s="1" t="s">
        <v>31</v>
      </c>
      <c r="L413" s="3">
        <v>39.299999999999997</v>
      </c>
      <c r="M413" s="3">
        <v>14</v>
      </c>
      <c r="N413" s="3">
        <v>0.2</v>
      </c>
      <c r="O413" s="3">
        <v>3.3</v>
      </c>
      <c r="P413" s="6">
        <v>523.99999999999989</v>
      </c>
      <c r="Q413" s="6">
        <f t="shared" si="29"/>
        <v>160</v>
      </c>
      <c r="R413" s="3">
        <v>-22.4</v>
      </c>
      <c r="S413" s="3">
        <v>10.4</v>
      </c>
      <c r="T413" s="3">
        <v>13.8</v>
      </c>
      <c r="U413" s="1">
        <f t="shared" si="30"/>
        <v>-23.4</v>
      </c>
      <c r="V413" s="1">
        <f t="shared" si="31"/>
        <v>7</v>
      </c>
      <c r="W413" s="1">
        <f t="shared" si="32"/>
        <v>15.3</v>
      </c>
      <c r="X413" s="3" t="s">
        <v>11</v>
      </c>
      <c r="Y413" s="1" t="s">
        <v>12</v>
      </c>
      <c r="Z413" s="1" t="s">
        <v>888</v>
      </c>
    </row>
    <row r="414" spans="1:26" hidden="1">
      <c r="A414" s="1" t="s">
        <v>649</v>
      </c>
      <c r="B414" s="2">
        <v>-28.558107</v>
      </c>
      <c r="C414" s="2">
        <v>-49.053998</v>
      </c>
      <c r="D414" s="1" t="s">
        <v>684</v>
      </c>
      <c r="E414" s="1" t="s">
        <v>685</v>
      </c>
      <c r="G414" s="1" t="s">
        <v>26</v>
      </c>
      <c r="I414" s="1" t="s">
        <v>41</v>
      </c>
      <c r="J414" s="1" t="s">
        <v>33</v>
      </c>
      <c r="K414" s="1" t="s">
        <v>31</v>
      </c>
      <c r="L414" s="3">
        <v>40.08</v>
      </c>
      <c r="M414" s="3">
        <v>13.98</v>
      </c>
      <c r="N414" s="3">
        <v>0.22</v>
      </c>
      <c r="O414" s="3">
        <v>3.34</v>
      </c>
      <c r="P414" s="6">
        <v>485.81818181818181</v>
      </c>
      <c r="Q414" s="6">
        <f t="shared" si="29"/>
        <v>145.24675324675326</v>
      </c>
      <c r="R414" s="3">
        <v>-12.46</v>
      </c>
      <c r="S414" s="3">
        <v>17.14</v>
      </c>
      <c r="T414" s="3">
        <v>10.82</v>
      </c>
      <c r="U414" s="1">
        <f t="shared" si="30"/>
        <v>-13.46</v>
      </c>
      <c r="V414" s="1">
        <f t="shared" si="31"/>
        <v>13.74</v>
      </c>
      <c r="W414" s="1">
        <f t="shared" si="32"/>
        <v>12.32</v>
      </c>
      <c r="X414" s="3" t="s">
        <v>11</v>
      </c>
      <c r="Y414" s="1" t="s">
        <v>12</v>
      </c>
      <c r="Z414" s="1" t="s">
        <v>888</v>
      </c>
    </row>
    <row r="415" spans="1:26" hidden="1">
      <c r="A415" s="1" t="s">
        <v>649</v>
      </c>
      <c r="B415" s="2">
        <v>-28.558107</v>
      </c>
      <c r="C415" s="2">
        <v>-49.053998</v>
      </c>
      <c r="D415" s="1" t="s">
        <v>686</v>
      </c>
      <c r="E415" s="1" t="s">
        <v>687</v>
      </c>
      <c r="G415" s="1" t="s">
        <v>26</v>
      </c>
      <c r="I415" s="1" t="s">
        <v>41</v>
      </c>
      <c r="J415" s="1" t="s">
        <v>42</v>
      </c>
      <c r="K415" s="1" t="s">
        <v>31</v>
      </c>
      <c r="L415" s="3">
        <v>40.28</v>
      </c>
      <c r="M415" s="3">
        <v>14.04</v>
      </c>
      <c r="N415" s="3">
        <v>0.22</v>
      </c>
      <c r="O415" s="3">
        <v>3.35</v>
      </c>
      <c r="P415" s="6">
        <v>488.24242424242425</v>
      </c>
      <c r="Q415" s="6">
        <f t="shared" si="29"/>
        <v>145.87012987012986</v>
      </c>
      <c r="R415" s="3">
        <v>-12.44</v>
      </c>
      <c r="S415" s="3">
        <v>17.04</v>
      </c>
      <c r="T415" s="3">
        <v>10.85</v>
      </c>
      <c r="U415" s="1">
        <f t="shared" si="30"/>
        <v>-13.44</v>
      </c>
      <c r="V415" s="1">
        <f t="shared" si="31"/>
        <v>13.639999999999999</v>
      </c>
      <c r="W415" s="1">
        <f t="shared" si="32"/>
        <v>12.35</v>
      </c>
      <c r="X415" s="3" t="s">
        <v>11</v>
      </c>
      <c r="Y415" s="1" t="s">
        <v>12</v>
      </c>
      <c r="Z415" s="1" t="s">
        <v>888</v>
      </c>
    </row>
    <row r="416" spans="1:26" hidden="1">
      <c r="A416" s="1" t="s">
        <v>649</v>
      </c>
      <c r="B416" s="2">
        <v>-28.558107</v>
      </c>
      <c r="C416" s="2">
        <v>-49.053998</v>
      </c>
      <c r="D416" s="1" t="s">
        <v>688</v>
      </c>
      <c r="E416" s="1" t="s">
        <v>689</v>
      </c>
      <c r="G416" s="1" t="s">
        <v>26</v>
      </c>
      <c r="I416" s="1" t="s">
        <v>690</v>
      </c>
      <c r="J416" s="2" t="s">
        <v>20</v>
      </c>
      <c r="K416" s="1" t="s">
        <v>31</v>
      </c>
      <c r="L416" s="3">
        <v>31.5</v>
      </c>
      <c r="M416" s="3">
        <v>11.6</v>
      </c>
      <c r="N416" s="3">
        <v>0.2</v>
      </c>
      <c r="O416" s="3">
        <v>3.2</v>
      </c>
      <c r="P416" s="6">
        <v>420</v>
      </c>
      <c r="Q416" s="6">
        <f t="shared" si="29"/>
        <v>132.57142857142856</v>
      </c>
      <c r="R416" s="3">
        <v>-12.4</v>
      </c>
      <c r="S416" s="3">
        <v>18.7</v>
      </c>
      <c r="T416" s="3">
        <v>9.5</v>
      </c>
      <c r="U416" s="1">
        <f t="shared" si="30"/>
        <v>-13.4</v>
      </c>
      <c r="V416" s="1">
        <f t="shared" si="31"/>
        <v>15.299999999999999</v>
      </c>
      <c r="W416" s="1">
        <f t="shared" si="32"/>
        <v>11</v>
      </c>
      <c r="X416" s="3" t="s">
        <v>11</v>
      </c>
      <c r="Y416" s="1" t="s">
        <v>12</v>
      </c>
      <c r="Z416" s="1" t="s">
        <v>888</v>
      </c>
    </row>
    <row r="417" spans="1:26" hidden="1">
      <c r="A417" s="1" t="s">
        <v>649</v>
      </c>
      <c r="B417" s="2">
        <v>-28.558107</v>
      </c>
      <c r="C417" s="2">
        <v>-49.053998</v>
      </c>
      <c r="D417" s="1" t="s">
        <v>691</v>
      </c>
      <c r="E417" s="1" t="s">
        <v>692</v>
      </c>
      <c r="G417" s="1" t="s">
        <v>26</v>
      </c>
      <c r="I417" s="1" t="s">
        <v>41</v>
      </c>
      <c r="J417" s="1" t="s">
        <v>33</v>
      </c>
      <c r="K417" s="1" t="s">
        <v>31</v>
      </c>
      <c r="L417" s="3">
        <v>30.5</v>
      </c>
      <c r="M417" s="3">
        <v>11</v>
      </c>
      <c r="N417" s="3">
        <v>0.2</v>
      </c>
      <c r="O417" s="3">
        <v>3.2</v>
      </c>
      <c r="P417" s="6">
        <v>406.66666666666669</v>
      </c>
      <c r="Q417" s="6">
        <f t="shared" si="29"/>
        <v>125.71428571428571</v>
      </c>
      <c r="R417" s="3">
        <v>-12.7</v>
      </c>
      <c r="S417" s="3">
        <v>18.100000000000001</v>
      </c>
      <c r="T417" s="3">
        <v>12.5</v>
      </c>
      <c r="U417" s="1">
        <f t="shared" si="30"/>
        <v>-13.7</v>
      </c>
      <c r="V417" s="1">
        <f t="shared" si="31"/>
        <v>14.700000000000001</v>
      </c>
      <c r="W417" s="1">
        <f t="shared" si="32"/>
        <v>14</v>
      </c>
      <c r="X417" s="3" t="s">
        <v>11</v>
      </c>
      <c r="Y417" s="1" t="s">
        <v>12</v>
      </c>
      <c r="Z417" s="1" t="s">
        <v>888</v>
      </c>
    </row>
    <row r="418" spans="1:26" hidden="1">
      <c r="A418" s="1" t="s">
        <v>649</v>
      </c>
      <c r="B418" s="2">
        <v>-28.558107</v>
      </c>
      <c r="C418" s="2">
        <v>-49.053998</v>
      </c>
      <c r="D418" s="1" t="s">
        <v>693</v>
      </c>
      <c r="E418" s="1" t="s">
        <v>694</v>
      </c>
      <c r="G418" s="1" t="s">
        <v>26</v>
      </c>
      <c r="I418" s="1" t="s">
        <v>41</v>
      </c>
      <c r="J418" s="1" t="s">
        <v>42</v>
      </c>
      <c r="K418" s="1" t="s">
        <v>31</v>
      </c>
      <c r="L418" s="3">
        <v>40.799999999999997</v>
      </c>
      <c r="M418" s="3">
        <v>14.3</v>
      </c>
      <c r="N418" s="3">
        <v>0.2</v>
      </c>
      <c r="O418" s="3">
        <v>3.3</v>
      </c>
      <c r="P418" s="6">
        <v>543.99999999999989</v>
      </c>
      <c r="Q418" s="6">
        <f t="shared" si="29"/>
        <v>163.42857142857142</v>
      </c>
      <c r="R418" s="3">
        <v>-12.8</v>
      </c>
      <c r="S418" s="3">
        <v>16.8</v>
      </c>
      <c r="T418" s="3">
        <v>11.5</v>
      </c>
      <c r="U418" s="1">
        <f t="shared" si="30"/>
        <v>-13.8</v>
      </c>
      <c r="V418" s="1">
        <f t="shared" si="31"/>
        <v>13.4</v>
      </c>
      <c r="W418" s="1">
        <f t="shared" si="32"/>
        <v>13</v>
      </c>
      <c r="X418" s="3" t="s">
        <v>11</v>
      </c>
      <c r="Y418" s="1" t="s">
        <v>12</v>
      </c>
      <c r="Z418" s="1" t="s">
        <v>888</v>
      </c>
    </row>
    <row r="419" spans="1:26" hidden="1">
      <c r="A419" s="1" t="s">
        <v>649</v>
      </c>
      <c r="B419" s="2">
        <v>-28.558107</v>
      </c>
      <c r="C419" s="2">
        <v>-49.053998</v>
      </c>
      <c r="D419" s="1" t="s">
        <v>695</v>
      </c>
      <c r="E419" s="1" t="s">
        <v>696</v>
      </c>
      <c r="G419" s="1" t="s">
        <v>26</v>
      </c>
      <c r="I419" s="1" t="s">
        <v>217</v>
      </c>
      <c r="J419" s="2" t="s">
        <v>20</v>
      </c>
      <c r="K419" s="1" t="s">
        <v>31</v>
      </c>
      <c r="L419" s="3">
        <v>41</v>
      </c>
      <c r="M419" s="3">
        <v>14.3</v>
      </c>
      <c r="N419" s="3">
        <v>0.2</v>
      </c>
      <c r="O419" s="3">
        <v>3.3</v>
      </c>
      <c r="P419" s="6">
        <v>546.66666666666663</v>
      </c>
      <c r="Q419" s="6">
        <f t="shared" si="29"/>
        <v>163.42857142857142</v>
      </c>
      <c r="R419" s="3">
        <v>-12</v>
      </c>
      <c r="S419" s="3">
        <v>19.5</v>
      </c>
      <c r="T419" s="3">
        <v>11.4</v>
      </c>
      <c r="U419" s="1">
        <f t="shared" si="30"/>
        <v>-13</v>
      </c>
      <c r="V419" s="1">
        <f t="shared" si="31"/>
        <v>16.100000000000001</v>
      </c>
      <c r="W419" s="1">
        <f t="shared" si="32"/>
        <v>12.9</v>
      </c>
      <c r="X419" s="3" t="s">
        <v>11</v>
      </c>
      <c r="Y419" s="1" t="s">
        <v>12</v>
      </c>
      <c r="Z419" s="1" t="s">
        <v>888</v>
      </c>
    </row>
    <row r="420" spans="1:26" hidden="1">
      <c r="A420" s="1" t="s">
        <v>649</v>
      </c>
      <c r="B420" s="2">
        <v>-28.558107</v>
      </c>
      <c r="C420" s="2">
        <v>-49.053998</v>
      </c>
      <c r="D420" s="1" t="s">
        <v>697</v>
      </c>
      <c r="E420" s="1" t="s">
        <v>698</v>
      </c>
      <c r="G420" s="1" t="s">
        <v>26</v>
      </c>
      <c r="I420" s="1" t="s">
        <v>41</v>
      </c>
      <c r="J420" s="1" t="s">
        <v>33</v>
      </c>
      <c r="K420" s="1" t="s">
        <v>31</v>
      </c>
      <c r="L420" s="3">
        <v>42.7</v>
      </c>
      <c r="M420" s="3">
        <v>15</v>
      </c>
      <c r="N420" s="3">
        <v>0.2</v>
      </c>
      <c r="O420" s="3">
        <v>3.3</v>
      </c>
      <c r="P420" s="6">
        <v>569.33333333333337</v>
      </c>
      <c r="Q420" s="6">
        <f t="shared" si="29"/>
        <v>171.42857142857142</v>
      </c>
      <c r="R420" s="3">
        <v>-12.2</v>
      </c>
      <c r="S420" s="3">
        <v>16.8</v>
      </c>
      <c r="T420" s="3">
        <v>10.9</v>
      </c>
      <c r="U420" s="1">
        <f t="shared" si="30"/>
        <v>-13.2</v>
      </c>
      <c r="V420" s="1">
        <f t="shared" si="31"/>
        <v>13.4</v>
      </c>
      <c r="W420" s="1">
        <f t="shared" si="32"/>
        <v>12.4</v>
      </c>
      <c r="X420" s="3" t="s">
        <v>11</v>
      </c>
      <c r="Y420" s="1" t="s">
        <v>12</v>
      </c>
      <c r="Z420" s="1" t="s">
        <v>888</v>
      </c>
    </row>
    <row r="421" spans="1:26" hidden="1">
      <c r="A421" s="1" t="s">
        <v>649</v>
      </c>
      <c r="B421" s="2">
        <v>-28.558107</v>
      </c>
      <c r="C421" s="2">
        <v>-49.053998</v>
      </c>
      <c r="D421" s="1" t="s">
        <v>699</v>
      </c>
      <c r="E421" s="1" t="s">
        <v>700</v>
      </c>
      <c r="G421" s="1" t="s">
        <v>26</v>
      </c>
      <c r="I421" s="1" t="s">
        <v>41</v>
      </c>
      <c r="J421" s="1" t="s">
        <v>33</v>
      </c>
      <c r="K421" s="1" t="s">
        <v>31</v>
      </c>
      <c r="L421" s="3">
        <v>42.7</v>
      </c>
      <c r="M421" s="3">
        <v>14.7</v>
      </c>
      <c r="N421" s="3">
        <v>0.2</v>
      </c>
      <c r="O421" s="3">
        <v>3.4</v>
      </c>
      <c r="P421" s="6">
        <v>569.33333333333337</v>
      </c>
      <c r="Q421" s="6">
        <f t="shared" si="29"/>
        <v>167.99999999999997</v>
      </c>
      <c r="R421" s="3">
        <v>-11.7</v>
      </c>
      <c r="S421" s="3">
        <v>17.399999999999999</v>
      </c>
      <c r="T421" s="3">
        <v>10.199999999999999</v>
      </c>
      <c r="U421" s="1">
        <f t="shared" si="30"/>
        <v>-12.7</v>
      </c>
      <c r="V421" s="1">
        <f t="shared" si="31"/>
        <v>13.999999999999998</v>
      </c>
      <c r="W421" s="1">
        <f t="shared" si="32"/>
        <v>11.7</v>
      </c>
      <c r="X421" s="3" t="s">
        <v>11</v>
      </c>
      <c r="Y421" s="1" t="s">
        <v>12</v>
      </c>
      <c r="Z421" s="1" t="s">
        <v>888</v>
      </c>
    </row>
    <row r="422" spans="1:26" hidden="1">
      <c r="A422" s="1" t="s">
        <v>649</v>
      </c>
      <c r="B422" s="2">
        <v>-28.558107</v>
      </c>
      <c r="C422" s="2">
        <v>-49.053998</v>
      </c>
      <c r="D422" s="1" t="s">
        <v>701</v>
      </c>
      <c r="E422" s="1" t="s">
        <v>702</v>
      </c>
      <c r="G422" s="1" t="s">
        <v>26</v>
      </c>
      <c r="I422" s="1" t="s">
        <v>41</v>
      </c>
      <c r="J422" s="1" t="s">
        <v>33</v>
      </c>
      <c r="K422" s="1" t="s">
        <v>31</v>
      </c>
      <c r="L422" s="3">
        <v>40.4</v>
      </c>
      <c r="M422" s="3">
        <v>14.3</v>
      </c>
      <c r="N422" s="3">
        <v>0.2</v>
      </c>
      <c r="O422" s="3">
        <v>3.3</v>
      </c>
      <c r="P422" s="6">
        <v>538.66666666666663</v>
      </c>
      <c r="Q422" s="6">
        <f t="shared" si="29"/>
        <v>163.42857142857142</v>
      </c>
      <c r="R422" s="3">
        <v>-11.6</v>
      </c>
      <c r="S422" s="3">
        <v>17</v>
      </c>
      <c r="T422" s="3">
        <v>10.6</v>
      </c>
      <c r="U422" s="1">
        <f t="shared" si="30"/>
        <v>-12.6</v>
      </c>
      <c r="V422" s="1">
        <f t="shared" si="31"/>
        <v>13.6</v>
      </c>
      <c r="W422" s="1">
        <f t="shared" si="32"/>
        <v>12.1</v>
      </c>
      <c r="X422" s="3" t="s">
        <v>11</v>
      </c>
      <c r="Y422" s="1" t="s">
        <v>12</v>
      </c>
      <c r="Z422" s="1" t="s">
        <v>888</v>
      </c>
    </row>
    <row r="423" spans="1:26" hidden="1">
      <c r="A423" s="1" t="s">
        <v>649</v>
      </c>
      <c r="B423" s="2">
        <v>-28.558107</v>
      </c>
      <c r="C423" s="2">
        <v>-49.053998</v>
      </c>
      <c r="D423" s="1" t="s">
        <v>703</v>
      </c>
      <c r="E423" s="1" t="s">
        <v>704</v>
      </c>
      <c r="G423" s="1" t="s">
        <v>26</v>
      </c>
      <c r="I423" s="1" t="s">
        <v>217</v>
      </c>
      <c r="J423" s="2" t="s">
        <v>20</v>
      </c>
      <c r="K423" s="1" t="s">
        <v>31</v>
      </c>
      <c r="L423" s="3">
        <v>28.6</v>
      </c>
      <c r="M423" s="3">
        <v>10.5</v>
      </c>
      <c r="N423" s="3">
        <v>0.2</v>
      </c>
      <c r="O423" s="3">
        <v>3.2</v>
      </c>
      <c r="P423" s="6">
        <v>381.33333333333331</v>
      </c>
      <c r="Q423" s="6">
        <f t="shared" si="29"/>
        <v>120</v>
      </c>
      <c r="R423" s="3">
        <v>-12.4</v>
      </c>
      <c r="S423" s="3">
        <v>18.100000000000001</v>
      </c>
      <c r="T423" s="3">
        <v>11.3</v>
      </c>
      <c r="U423" s="1">
        <f t="shared" si="30"/>
        <v>-13.4</v>
      </c>
      <c r="V423" s="1">
        <f t="shared" si="31"/>
        <v>14.700000000000001</v>
      </c>
      <c r="W423" s="1">
        <f t="shared" si="32"/>
        <v>12.8</v>
      </c>
      <c r="X423" s="3" t="s">
        <v>11</v>
      </c>
      <c r="Y423" s="1" t="s">
        <v>12</v>
      </c>
      <c r="Z423" s="1" t="s">
        <v>888</v>
      </c>
    </row>
    <row r="424" spans="1:26" hidden="1">
      <c r="A424" s="1" t="s">
        <v>649</v>
      </c>
      <c r="B424" s="2">
        <v>-28.558107</v>
      </c>
      <c r="C424" s="2">
        <v>-49.053998</v>
      </c>
      <c r="D424" s="1" t="s">
        <v>705</v>
      </c>
      <c r="E424" s="1" t="s">
        <v>706</v>
      </c>
      <c r="G424" s="1" t="s">
        <v>26</v>
      </c>
      <c r="I424" s="1" t="s">
        <v>217</v>
      </c>
      <c r="J424" s="2" t="s">
        <v>20</v>
      </c>
      <c r="K424" s="1" t="s">
        <v>31</v>
      </c>
      <c r="L424" s="3">
        <v>40.200000000000003</v>
      </c>
      <c r="M424" s="3">
        <v>14</v>
      </c>
      <c r="N424" s="3">
        <v>0.2</v>
      </c>
      <c r="O424" s="3">
        <v>3.3</v>
      </c>
      <c r="P424" s="6">
        <v>536</v>
      </c>
      <c r="Q424" s="6">
        <f t="shared" si="29"/>
        <v>160</v>
      </c>
      <c r="R424" s="3">
        <v>-12</v>
      </c>
      <c r="S424" s="3">
        <v>17.100000000000001</v>
      </c>
      <c r="T424" s="3">
        <v>11.3</v>
      </c>
      <c r="U424" s="1">
        <f t="shared" si="30"/>
        <v>-13</v>
      </c>
      <c r="V424" s="1">
        <f t="shared" si="31"/>
        <v>13.700000000000001</v>
      </c>
      <c r="W424" s="1">
        <f t="shared" si="32"/>
        <v>12.8</v>
      </c>
      <c r="X424" s="3" t="s">
        <v>11</v>
      </c>
      <c r="Y424" s="1" t="s">
        <v>12</v>
      </c>
      <c r="Z424" s="1" t="s">
        <v>888</v>
      </c>
    </row>
    <row r="425" spans="1:26" hidden="1">
      <c r="A425" s="1" t="s">
        <v>649</v>
      </c>
      <c r="B425" s="2">
        <v>-28.558107</v>
      </c>
      <c r="C425" s="2">
        <v>-49.053998</v>
      </c>
      <c r="D425" s="1" t="s">
        <v>707</v>
      </c>
      <c r="E425" s="1" t="s">
        <v>708</v>
      </c>
      <c r="G425" s="1" t="s">
        <v>26</v>
      </c>
      <c r="I425" s="1" t="s">
        <v>200</v>
      </c>
      <c r="J425" s="1" t="s">
        <v>33</v>
      </c>
      <c r="K425" s="1" t="s">
        <v>31</v>
      </c>
      <c r="L425" s="3">
        <v>31.64</v>
      </c>
      <c r="M425" s="3">
        <v>11.32</v>
      </c>
      <c r="N425" s="3">
        <v>0.22</v>
      </c>
      <c r="O425" s="3">
        <v>3.26</v>
      </c>
      <c r="P425" s="6">
        <v>383.5151515151515</v>
      </c>
      <c r="Q425" s="6">
        <f t="shared" si="29"/>
        <v>117.6103896103896</v>
      </c>
      <c r="R425" s="3">
        <v>-12.31</v>
      </c>
      <c r="S425" s="3">
        <v>17.68</v>
      </c>
      <c r="T425" s="3">
        <v>11.17</v>
      </c>
      <c r="U425" s="1">
        <f t="shared" si="30"/>
        <v>-13.31</v>
      </c>
      <c r="V425" s="1">
        <f t="shared" si="31"/>
        <v>14.28</v>
      </c>
      <c r="W425" s="1">
        <f t="shared" si="32"/>
        <v>12.67</v>
      </c>
      <c r="X425" s="3" t="s">
        <v>11</v>
      </c>
      <c r="Y425" s="1" t="s">
        <v>12</v>
      </c>
      <c r="Z425" s="1" t="s">
        <v>888</v>
      </c>
    </row>
    <row r="426" spans="1:26" hidden="1">
      <c r="A426" s="1" t="s">
        <v>649</v>
      </c>
      <c r="B426" s="2">
        <v>-28.558107</v>
      </c>
      <c r="C426" s="2">
        <v>-49.053998</v>
      </c>
      <c r="D426" s="1" t="s">
        <v>709</v>
      </c>
      <c r="E426" s="1" t="s">
        <v>710</v>
      </c>
      <c r="G426" s="1" t="s">
        <v>26</v>
      </c>
      <c r="I426" s="1" t="s">
        <v>41</v>
      </c>
      <c r="J426" s="1" t="s">
        <v>42</v>
      </c>
      <c r="K426" s="1" t="s">
        <v>31</v>
      </c>
      <c r="L426" s="3">
        <v>34.799999999999997</v>
      </c>
      <c r="M426" s="3">
        <v>12.4</v>
      </c>
      <c r="N426" s="3">
        <v>0.2</v>
      </c>
      <c r="O426" s="3">
        <v>3.3</v>
      </c>
      <c r="P426" s="6">
        <v>463.99999999999994</v>
      </c>
      <c r="Q426" s="6">
        <f t="shared" si="29"/>
        <v>141.71428571428572</v>
      </c>
      <c r="R426" s="3">
        <v>-11.7</v>
      </c>
      <c r="S426" s="3">
        <v>17.5</v>
      </c>
      <c r="T426" s="3">
        <v>11.7</v>
      </c>
      <c r="U426" s="1">
        <f t="shared" si="30"/>
        <v>-12.7</v>
      </c>
      <c r="V426" s="1">
        <f t="shared" si="31"/>
        <v>14.1</v>
      </c>
      <c r="W426" s="1">
        <f t="shared" si="32"/>
        <v>13.2</v>
      </c>
      <c r="X426" s="3" t="s">
        <v>11</v>
      </c>
      <c r="Y426" s="1" t="s">
        <v>12</v>
      </c>
      <c r="Z426" s="1" t="s">
        <v>888</v>
      </c>
    </row>
    <row r="427" spans="1:26" hidden="1">
      <c r="A427" s="1" t="s">
        <v>649</v>
      </c>
      <c r="B427" s="2">
        <v>-28.558107</v>
      </c>
      <c r="C427" s="2">
        <v>-49.053998</v>
      </c>
      <c r="D427" s="1" t="s">
        <v>711</v>
      </c>
      <c r="E427" s="1" t="s">
        <v>712</v>
      </c>
      <c r="G427" s="1" t="s">
        <v>26</v>
      </c>
      <c r="I427" s="1" t="s">
        <v>217</v>
      </c>
      <c r="J427" s="2" t="s">
        <v>20</v>
      </c>
      <c r="K427" s="1" t="s">
        <v>31</v>
      </c>
      <c r="L427" s="3">
        <v>40.159999999999997</v>
      </c>
      <c r="M427" s="3">
        <v>14.09</v>
      </c>
      <c r="N427" s="3">
        <v>0.22</v>
      </c>
      <c r="O427" s="3">
        <v>3.33</v>
      </c>
      <c r="P427" s="6">
        <v>486.78787878787875</v>
      </c>
      <c r="Q427" s="6">
        <f t="shared" si="29"/>
        <v>146.3896103896104</v>
      </c>
      <c r="R427" s="3">
        <v>-12.39</v>
      </c>
      <c r="S427" s="3">
        <v>17.829999999999998</v>
      </c>
      <c r="T427" s="3">
        <v>10.41</v>
      </c>
      <c r="U427" s="1">
        <f t="shared" si="30"/>
        <v>-13.39</v>
      </c>
      <c r="V427" s="1">
        <f t="shared" si="31"/>
        <v>14.429999999999998</v>
      </c>
      <c r="W427" s="1">
        <f t="shared" si="32"/>
        <v>11.91</v>
      </c>
      <c r="X427" s="3" t="s">
        <v>11</v>
      </c>
      <c r="Y427" s="1" t="s">
        <v>12</v>
      </c>
      <c r="Z427" s="1" t="s">
        <v>888</v>
      </c>
    </row>
    <row r="428" spans="1:26" hidden="1">
      <c r="A428" s="1" t="s">
        <v>649</v>
      </c>
      <c r="B428" s="2">
        <v>-28.558107</v>
      </c>
      <c r="C428" s="2">
        <v>-49.053998</v>
      </c>
      <c r="D428" s="1" t="s">
        <v>713</v>
      </c>
      <c r="E428" s="1" t="s">
        <v>714</v>
      </c>
      <c r="G428" s="1" t="s">
        <v>26</v>
      </c>
      <c r="I428" s="1" t="s">
        <v>217</v>
      </c>
      <c r="J428" s="2" t="s">
        <v>20</v>
      </c>
      <c r="K428" s="1" t="s">
        <v>31</v>
      </c>
      <c r="L428" s="3">
        <v>18.91</v>
      </c>
      <c r="M428" s="3">
        <v>6.83</v>
      </c>
      <c r="N428" s="3">
        <v>0.15</v>
      </c>
      <c r="O428" s="3">
        <v>3.23</v>
      </c>
      <c r="P428" s="6">
        <v>336.17777777777781</v>
      </c>
      <c r="Q428" s="6">
        <f t="shared" si="29"/>
        <v>104.07619047619049</v>
      </c>
      <c r="R428" s="3">
        <v>-11.31</v>
      </c>
      <c r="S428" s="3">
        <v>22.37</v>
      </c>
      <c r="T428" s="3">
        <v>9.68</v>
      </c>
      <c r="U428" s="1">
        <f t="shared" si="30"/>
        <v>-12.31</v>
      </c>
      <c r="V428" s="1">
        <f t="shared" si="31"/>
        <v>18.970000000000002</v>
      </c>
      <c r="W428" s="1">
        <f t="shared" si="32"/>
        <v>11.18</v>
      </c>
      <c r="X428" s="3" t="s">
        <v>11</v>
      </c>
      <c r="Y428" s="1" t="s">
        <v>12</v>
      </c>
      <c r="Z428" s="1" t="s">
        <v>888</v>
      </c>
    </row>
    <row r="429" spans="1:26" hidden="1">
      <c r="A429" s="1" t="s">
        <v>649</v>
      </c>
      <c r="B429" s="2">
        <v>-28.558107</v>
      </c>
      <c r="C429" s="2">
        <v>-49.053998</v>
      </c>
      <c r="D429" s="1" t="s">
        <v>715</v>
      </c>
      <c r="E429" s="1" t="s">
        <v>716</v>
      </c>
      <c r="G429" s="1" t="s">
        <v>26</v>
      </c>
      <c r="I429" s="1" t="s">
        <v>41</v>
      </c>
      <c r="J429" s="1" t="s">
        <v>33</v>
      </c>
      <c r="K429" s="1" t="s">
        <v>31</v>
      </c>
      <c r="L429" s="3">
        <v>34.39</v>
      </c>
      <c r="M429" s="3">
        <v>12.18</v>
      </c>
      <c r="N429" s="3">
        <v>0.2</v>
      </c>
      <c r="O429" s="3">
        <v>3.29</v>
      </c>
      <c r="P429" s="6">
        <v>458.5333333333333</v>
      </c>
      <c r="Q429" s="6">
        <f t="shared" si="29"/>
        <v>139.19999999999999</v>
      </c>
      <c r="R429" s="3">
        <v>-11.68</v>
      </c>
      <c r="S429" s="3">
        <v>17.100000000000001</v>
      </c>
      <c r="T429" s="3">
        <v>11.55</v>
      </c>
      <c r="U429" s="1">
        <f t="shared" si="30"/>
        <v>-12.68</v>
      </c>
      <c r="V429" s="1">
        <f t="shared" si="31"/>
        <v>13.700000000000001</v>
      </c>
      <c r="W429" s="1">
        <f t="shared" si="32"/>
        <v>13.05</v>
      </c>
      <c r="X429" s="3" t="s">
        <v>11</v>
      </c>
      <c r="Y429" s="1" t="s">
        <v>12</v>
      </c>
      <c r="Z429" s="1" t="s">
        <v>888</v>
      </c>
    </row>
    <row r="430" spans="1:26" hidden="1">
      <c r="A430" s="1" t="s">
        <v>649</v>
      </c>
      <c r="B430" s="2">
        <v>-28.558107</v>
      </c>
      <c r="C430" s="2">
        <v>-49.053998</v>
      </c>
      <c r="D430" s="1" t="s">
        <v>717</v>
      </c>
      <c r="E430" s="1" t="s">
        <v>718</v>
      </c>
      <c r="G430" s="1" t="s">
        <v>26</v>
      </c>
      <c r="I430" s="1" t="s">
        <v>41</v>
      </c>
      <c r="J430" s="1" t="s">
        <v>42</v>
      </c>
      <c r="K430" s="1" t="s">
        <v>31</v>
      </c>
      <c r="L430" s="3">
        <v>31.85</v>
      </c>
      <c r="M430" s="3">
        <v>11.18</v>
      </c>
      <c r="N430" s="3">
        <v>0.18</v>
      </c>
      <c r="O430" s="3">
        <v>3.32</v>
      </c>
      <c r="P430" s="6">
        <v>471.8518518518519</v>
      </c>
      <c r="Q430" s="6">
        <f t="shared" si="29"/>
        <v>141.96825396825398</v>
      </c>
      <c r="R430" s="3">
        <v>-12.55</v>
      </c>
      <c r="S430" s="3">
        <v>17.12</v>
      </c>
      <c r="T430" s="3">
        <v>11.72</v>
      </c>
      <c r="U430" s="1">
        <f t="shared" si="30"/>
        <v>-13.55</v>
      </c>
      <c r="V430" s="1">
        <f t="shared" si="31"/>
        <v>13.72</v>
      </c>
      <c r="W430" s="1">
        <f t="shared" si="32"/>
        <v>13.22</v>
      </c>
      <c r="X430" s="3" t="s">
        <v>11</v>
      </c>
      <c r="Y430" s="1" t="s">
        <v>12</v>
      </c>
      <c r="Z430" s="1" t="s">
        <v>888</v>
      </c>
    </row>
    <row r="431" spans="1:26" hidden="1">
      <c r="A431" s="1" t="s">
        <v>649</v>
      </c>
      <c r="B431" s="2">
        <v>-28.558107</v>
      </c>
      <c r="C431" s="2">
        <v>-49.053998</v>
      </c>
      <c r="D431" s="1" t="s">
        <v>719</v>
      </c>
      <c r="E431" s="1" t="s">
        <v>720</v>
      </c>
      <c r="G431" s="1" t="s">
        <v>26</v>
      </c>
      <c r="I431" s="1" t="s">
        <v>41</v>
      </c>
      <c r="J431" s="1" t="s">
        <v>33</v>
      </c>
      <c r="K431" s="1" t="s">
        <v>31</v>
      </c>
      <c r="L431" s="3">
        <v>44.1</v>
      </c>
      <c r="M431" s="3">
        <v>15.4</v>
      </c>
      <c r="N431" s="3">
        <v>0.2</v>
      </c>
      <c r="O431" s="3">
        <v>3.3</v>
      </c>
      <c r="P431" s="6">
        <v>588</v>
      </c>
      <c r="Q431" s="6">
        <f t="shared" si="29"/>
        <v>176</v>
      </c>
      <c r="R431" s="3">
        <v>-15.7</v>
      </c>
      <c r="S431" s="3">
        <v>14.6</v>
      </c>
      <c r="T431" s="3">
        <v>11.4</v>
      </c>
      <c r="U431" s="1">
        <f t="shared" si="30"/>
        <v>-16.7</v>
      </c>
      <c r="V431" s="1">
        <f t="shared" si="31"/>
        <v>11.2</v>
      </c>
      <c r="W431" s="1">
        <f t="shared" si="32"/>
        <v>12.9</v>
      </c>
      <c r="X431" s="3" t="s">
        <v>11</v>
      </c>
      <c r="Y431" s="1" t="s">
        <v>12</v>
      </c>
      <c r="Z431" s="1" t="s">
        <v>888</v>
      </c>
    </row>
    <row r="432" spans="1:26" hidden="1">
      <c r="A432" s="1" t="s">
        <v>649</v>
      </c>
      <c r="B432" s="2">
        <v>-28.558107</v>
      </c>
      <c r="C432" s="2">
        <v>-49.053998</v>
      </c>
      <c r="D432" s="1" t="s">
        <v>721</v>
      </c>
      <c r="E432" s="1" t="s">
        <v>722</v>
      </c>
      <c r="G432" s="1" t="s">
        <v>26</v>
      </c>
      <c r="I432" s="1" t="s">
        <v>41</v>
      </c>
      <c r="J432" s="1" t="s">
        <v>42</v>
      </c>
      <c r="K432" s="1" t="s">
        <v>90</v>
      </c>
      <c r="L432" s="3">
        <v>43.1</v>
      </c>
      <c r="M432" s="3">
        <v>14.5</v>
      </c>
      <c r="N432" s="3">
        <v>0.2</v>
      </c>
      <c r="O432" s="3">
        <v>3.5</v>
      </c>
      <c r="P432" s="6">
        <v>574.66666666666663</v>
      </c>
      <c r="Q432" s="6">
        <f t="shared" si="29"/>
        <v>165.71428571428572</v>
      </c>
      <c r="R432" s="3">
        <v>-12.6</v>
      </c>
      <c r="S432" s="3">
        <v>17.3</v>
      </c>
      <c r="T432" s="3">
        <v>10.6</v>
      </c>
      <c r="U432" s="1">
        <f t="shared" si="30"/>
        <v>-13.6</v>
      </c>
      <c r="V432" s="1">
        <f t="shared" si="31"/>
        <v>13.9</v>
      </c>
      <c r="W432" s="1">
        <f t="shared" si="32"/>
        <v>12.1</v>
      </c>
      <c r="X432" s="3" t="s">
        <v>11</v>
      </c>
      <c r="Y432" s="1" t="s">
        <v>12</v>
      </c>
      <c r="Z432" s="1" t="s">
        <v>888</v>
      </c>
    </row>
    <row r="433" spans="1:26" hidden="1">
      <c r="A433" s="1" t="s">
        <v>723</v>
      </c>
      <c r="B433" s="2">
        <v>-26.397592</v>
      </c>
      <c r="C433" s="2">
        <v>-48.615654999999997</v>
      </c>
      <c r="D433" s="1" t="s">
        <v>724</v>
      </c>
      <c r="E433" s="1" t="s">
        <v>725</v>
      </c>
      <c r="G433" s="1" t="s">
        <v>26</v>
      </c>
      <c r="I433" s="1" t="s">
        <v>20</v>
      </c>
      <c r="J433" s="2" t="s">
        <v>20</v>
      </c>
      <c r="K433" s="1" t="s">
        <v>130</v>
      </c>
      <c r="L433" s="3">
        <v>41</v>
      </c>
      <c r="M433" s="3">
        <v>14.4</v>
      </c>
      <c r="N433" s="3">
        <v>0.2</v>
      </c>
      <c r="O433" s="3">
        <v>3.3</v>
      </c>
      <c r="P433" s="6">
        <v>546.66666666666663</v>
      </c>
      <c r="Q433" s="6">
        <f t="shared" si="29"/>
        <v>164.57142857142858</v>
      </c>
      <c r="R433" s="3">
        <v>-11.5</v>
      </c>
      <c r="S433" s="3">
        <v>14.9</v>
      </c>
      <c r="T433" s="3">
        <v>9.6</v>
      </c>
      <c r="U433" s="1">
        <f t="shared" si="30"/>
        <v>-12.5</v>
      </c>
      <c r="V433" s="1">
        <f t="shared" si="31"/>
        <v>11.5</v>
      </c>
      <c r="W433" s="1">
        <f t="shared" si="32"/>
        <v>11.1</v>
      </c>
      <c r="X433" s="3" t="s">
        <v>11</v>
      </c>
      <c r="Y433" s="1" t="s">
        <v>12</v>
      </c>
      <c r="Z433" s="1" t="s">
        <v>888</v>
      </c>
    </row>
    <row r="434" spans="1:26" hidden="1">
      <c r="A434" s="1" t="s">
        <v>723</v>
      </c>
      <c r="B434" s="2">
        <v>-26.397592</v>
      </c>
      <c r="C434" s="2">
        <v>-48.615654999999997</v>
      </c>
      <c r="D434" s="1" t="s">
        <v>726</v>
      </c>
      <c r="E434" s="1" t="s">
        <v>727</v>
      </c>
      <c r="G434" s="1" t="s">
        <v>26</v>
      </c>
      <c r="I434" s="1" t="s">
        <v>20</v>
      </c>
      <c r="J434" s="2" t="s">
        <v>20</v>
      </c>
      <c r="K434" s="1" t="s">
        <v>130</v>
      </c>
      <c r="L434" s="3">
        <v>40.700000000000003</v>
      </c>
      <c r="M434" s="3">
        <v>14.1</v>
      </c>
      <c r="N434" s="3">
        <v>0.19</v>
      </c>
      <c r="O434" s="3">
        <v>3.4</v>
      </c>
      <c r="P434" s="6">
        <v>571.22807017543857</v>
      </c>
      <c r="Q434" s="6">
        <f t="shared" si="29"/>
        <v>169.62406015037593</v>
      </c>
      <c r="R434" s="3">
        <v>-14.8</v>
      </c>
      <c r="S434" s="3">
        <v>13.2</v>
      </c>
      <c r="T434" s="3">
        <v>10.4</v>
      </c>
      <c r="U434" s="1">
        <f t="shared" si="30"/>
        <v>-15.8</v>
      </c>
      <c r="V434" s="1">
        <f t="shared" si="31"/>
        <v>9.7999999999999989</v>
      </c>
      <c r="W434" s="1">
        <f t="shared" si="32"/>
        <v>11.9</v>
      </c>
      <c r="X434" s="3" t="s">
        <v>11</v>
      </c>
      <c r="Y434" s="1" t="s">
        <v>12</v>
      </c>
      <c r="Z434" s="1" t="s">
        <v>888</v>
      </c>
    </row>
    <row r="435" spans="1:26" hidden="1">
      <c r="A435" s="7" t="s">
        <v>883</v>
      </c>
      <c r="B435" s="2">
        <v>-27.686432</v>
      </c>
      <c r="C435" s="2">
        <v>-48.570976000000002</v>
      </c>
      <c r="D435" s="1" t="s">
        <v>728</v>
      </c>
      <c r="E435" s="1" t="s">
        <v>729</v>
      </c>
      <c r="G435" s="1" t="s">
        <v>215</v>
      </c>
      <c r="I435" s="1" t="s">
        <v>20</v>
      </c>
      <c r="J435" s="2" t="s">
        <v>20</v>
      </c>
      <c r="K435" s="1" t="s">
        <v>31</v>
      </c>
      <c r="L435" s="3">
        <v>39.5</v>
      </c>
      <c r="M435" s="3">
        <v>13.4</v>
      </c>
      <c r="N435" s="3">
        <v>0.2</v>
      </c>
      <c r="O435" s="3">
        <v>3.5</v>
      </c>
      <c r="P435" s="6">
        <v>526.66666666666663</v>
      </c>
      <c r="Q435" s="6">
        <f t="shared" si="29"/>
        <v>153.14285714285714</v>
      </c>
      <c r="R435" s="3">
        <v>-10.199999999999999</v>
      </c>
      <c r="S435" s="3">
        <v>15.7</v>
      </c>
      <c r="T435" s="3">
        <v>10.199999999999999</v>
      </c>
      <c r="U435" s="1">
        <f t="shared" si="30"/>
        <v>-11.2</v>
      </c>
      <c r="V435" s="1">
        <f t="shared" si="31"/>
        <v>12.299999999999999</v>
      </c>
      <c r="W435" s="1">
        <f t="shared" si="32"/>
        <v>11.7</v>
      </c>
      <c r="X435" s="3" t="s">
        <v>11</v>
      </c>
      <c r="Y435" s="1" t="s">
        <v>12</v>
      </c>
      <c r="Z435" s="1" t="s">
        <v>888</v>
      </c>
    </row>
    <row r="436" spans="1:26" hidden="1">
      <c r="A436" s="1" t="s">
        <v>21</v>
      </c>
      <c r="B436" s="2">
        <v>-27.68</v>
      </c>
      <c r="C436" s="2">
        <v>-48.57</v>
      </c>
      <c r="E436" s="1" t="s">
        <v>730</v>
      </c>
      <c r="G436" s="1" t="s">
        <v>215</v>
      </c>
      <c r="H436" s="7"/>
      <c r="I436" s="1" t="s">
        <v>36</v>
      </c>
      <c r="J436" s="1" t="s">
        <v>33</v>
      </c>
      <c r="K436" s="1" t="s">
        <v>288</v>
      </c>
      <c r="N436" s="7"/>
      <c r="O436" s="1">
        <v>3.2</v>
      </c>
      <c r="P436" s="7"/>
      <c r="Q436" s="7"/>
      <c r="R436" s="3">
        <v>-11.5</v>
      </c>
      <c r="S436" s="3">
        <v>17.100000000000001</v>
      </c>
      <c r="X436" s="7"/>
      <c r="Y436" s="7"/>
      <c r="Z436" s="7"/>
    </row>
    <row r="437" spans="1:26" hidden="1">
      <c r="A437" s="1" t="s">
        <v>21</v>
      </c>
      <c r="B437" s="2">
        <v>-27.68</v>
      </c>
      <c r="C437" s="2">
        <v>-48.57</v>
      </c>
      <c r="E437" s="1" t="s">
        <v>731</v>
      </c>
      <c r="G437" s="1" t="s">
        <v>215</v>
      </c>
      <c r="H437" s="7"/>
      <c r="J437" s="1" t="s">
        <v>42</v>
      </c>
      <c r="K437" s="1" t="s">
        <v>288</v>
      </c>
      <c r="N437" s="7"/>
      <c r="O437" s="1">
        <v>3.1</v>
      </c>
      <c r="P437" s="7"/>
      <c r="Q437" s="7"/>
      <c r="R437" s="3">
        <v>-10.8</v>
      </c>
      <c r="S437" s="3">
        <v>16.399999999999999</v>
      </c>
      <c r="X437" s="7"/>
      <c r="Y437" s="7"/>
      <c r="Z437" s="7"/>
    </row>
    <row r="438" spans="1:26" hidden="1">
      <c r="A438" s="1" t="s">
        <v>21</v>
      </c>
      <c r="B438" s="2">
        <v>-27.68</v>
      </c>
      <c r="C438" s="2">
        <v>-48.57</v>
      </c>
      <c r="E438" s="1" t="s">
        <v>732</v>
      </c>
      <c r="G438" s="1" t="s">
        <v>215</v>
      </c>
      <c r="H438" s="7"/>
      <c r="J438" s="1" t="s">
        <v>42</v>
      </c>
      <c r="K438" s="1" t="s">
        <v>288</v>
      </c>
      <c r="N438" s="7"/>
      <c r="O438" s="1">
        <v>3.1</v>
      </c>
      <c r="P438" s="7"/>
      <c r="Q438" s="7"/>
      <c r="R438" s="3">
        <v>-11.1</v>
      </c>
      <c r="S438" s="3">
        <v>17</v>
      </c>
      <c r="X438" s="7"/>
      <c r="Y438" s="7"/>
      <c r="Z438" s="7"/>
    </row>
    <row r="439" spans="1:26" hidden="1">
      <c r="A439" s="1" t="s">
        <v>21</v>
      </c>
      <c r="B439" s="2">
        <v>-27.68</v>
      </c>
      <c r="C439" s="2">
        <v>-48.57</v>
      </c>
      <c r="E439" s="1" t="s">
        <v>733</v>
      </c>
      <c r="G439" s="1" t="s">
        <v>215</v>
      </c>
      <c r="H439" s="7"/>
      <c r="J439" s="1" t="s">
        <v>33</v>
      </c>
      <c r="K439" s="1" t="s">
        <v>288</v>
      </c>
      <c r="N439" s="7"/>
      <c r="O439" s="1">
        <v>3.3</v>
      </c>
      <c r="P439" s="7"/>
      <c r="Q439" s="7"/>
      <c r="R439" s="3">
        <v>-11.6</v>
      </c>
      <c r="S439" s="3">
        <v>17.5</v>
      </c>
      <c r="X439" s="7"/>
      <c r="Y439" s="7"/>
      <c r="Z439" s="7"/>
    </row>
    <row r="440" spans="1:26" hidden="1">
      <c r="A440" s="1" t="s">
        <v>21</v>
      </c>
      <c r="B440" s="2">
        <v>-27.68</v>
      </c>
      <c r="C440" s="2">
        <v>-48.57</v>
      </c>
      <c r="E440" s="1" t="s">
        <v>734</v>
      </c>
      <c r="G440" s="1" t="s">
        <v>215</v>
      </c>
      <c r="H440" s="7"/>
      <c r="J440" s="1" t="s">
        <v>42</v>
      </c>
      <c r="K440" s="1" t="s">
        <v>288</v>
      </c>
      <c r="N440" s="7"/>
      <c r="O440" s="1" t="s">
        <v>735</v>
      </c>
      <c r="P440" s="7"/>
      <c r="Q440" s="7"/>
      <c r="R440" s="3">
        <v>-11.9</v>
      </c>
      <c r="S440" s="3">
        <v>19.8</v>
      </c>
      <c r="X440" s="7"/>
      <c r="Y440" s="7"/>
      <c r="Z440" s="7"/>
    </row>
    <row r="441" spans="1:26" hidden="1">
      <c r="A441" s="1" t="s">
        <v>21</v>
      </c>
      <c r="B441" s="2">
        <v>-27.68</v>
      </c>
      <c r="C441" s="2">
        <v>-48.57</v>
      </c>
      <c r="E441" s="1" t="s">
        <v>736</v>
      </c>
      <c r="G441" s="1" t="s">
        <v>215</v>
      </c>
      <c r="H441" s="7"/>
      <c r="J441" s="1" t="s">
        <v>42</v>
      </c>
      <c r="K441" s="1" t="s">
        <v>288</v>
      </c>
      <c r="N441" s="7"/>
      <c r="O441" s="1">
        <v>3.1</v>
      </c>
      <c r="P441" s="7"/>
      <c r="Q441" s="7"/>
      <c r="R441" s="3">
        <v>-11.3</v>
      </c>
      <c r="S441" s="3">
        <v>17.3</v>
      </c>
      <c r="X441" s="7"/>
      <c r="Y441" s="7"/>
      <c r="Z441" s="7"/>
    </row>
    <row r="442" spans="1:26" hidden="1">
      <c r="A442" s="1" t="s">
        <v>21</v>
      </c>
      <c r="B442" s="2">
        <v>-27.68</v>
      </c>
      <c r="C442" s="2">
        <v>-48.57</v>
      </c>
      <c r="E442" s="1" t="s">
        <v>737</v>
      </c>
      <c r="G442" s="1" t="s">
        <v>215</v>
      </c>
      <c r="H442" s="7"/>
      <c r="J442" s="1" t="s">
        <v>33</v>
      </c>
      <c r="K442" s="1" t="s">
        <v>288</v>
      </c>
      <c r="N442" s="7"/>
      <c r="O442" s="1">
        <v>3.2</v>
      </c>
      <c r="P442" s="7"/>
      <c r="Q442" s="7"/>
      <c r="R442" s="3">
        <v>-10.8</v>
      </c>
      <c r="S442" s="3">
        <v>17</v>
      </c>
      <c r="X442" s="7"/>
      <c r="Y442" s="7"/>
      <c r="Z442" s="7"/>
    </row>
    <row r="443" spans="1:26" hidden="1">
      <c r="A443" s="1" t="s">
        <v>21</v>
      </c>
      <c r="B443" s="2">
        <v>-27.68</v>
      </c>
      <c r="C443" s="2">
        <v>-48.57</v>
      </c>
      <c r="E443" s="1" t="s">
        <v>738</v>
      </c>
      <c r="G443" s="1" t="s">
        <v>215</v>
      </c>
      <c r="H443" s="7"/>
      <c r="J443" s="1" t="s">
        <v>33</v>
      </c>
      <c r="K443" s="1" t="s">
        <v>288</v>
      </c>
      <c r="N443" s="7"/>
      <c r="O443" s="1">
        <v>3.4</v>
      </c>
      <c r="P443" s="7"/>
      <c r="Q443" s="7"/>
      <c r="R443" s="3">
        <v>-10.8</v>
      </c>
      <c r="S443" s="3">
        <v>16.7</v>
      </c>
      <c r="X443" s="7"/>
      <c r="Y443" s="7"/>
      <c r="Z443" s="7"/>
    </row>
    <row r="444" spans="1:26" hidden="1">
      <c r="A444" s="1" t="s">
        <v>21</v>
      </c>
      <c r="B444" s="2">
        <v>-27.68</v>
      </c>
      <c r="C444" s="2">
        <v>-48.57</v>
      </c>
      <c r="E444" s="1" t="s">
        <v>739</v>
      </c>
      <c r="G444" s="1" t="s">
        <v>215</v>
      </c>
      <c r="H444" s="7"/>
      <c r="J444" s="1" t="s">
        <v>42</v>
      </c>
      <c r="K444" s="1" t="s">
        <v>288</v>
      </c>
      <c r="N444" s="7"/>
      <c r="O444" s="1">
        <v>3.1</v>
      </c>
      <c r="P444" s="7"/>
      <c r="Q444" s="7"/>
      <c r="R444" s="3">
        <v>-11.5</v>
      </c>
      <c r="S444" s="3">
        <v>16.399999999999999</v>
      </c>
      <c r="X444" s="7"/>
      <c r="Y444" s="7"/>
      <c r="Z444" s="7"/>
    </row>
    <row r="445" spans="1:26" hidden="1">
      <c r="A445" s="1" t="s">
        <v>21</v>
      </c>
      <c r="B445" s="2">
        <v>-27.68</v>
      </c>
      <c r="C445" s="2">
        <v>-48.57</v>
      </c>
      <c r="E445" s="1" t="s">
        <v>740</v>
      </c>
      <c r="G445" s="1" t="s">
        <v>215</v>
      </c>
      <c r="H445" s="7"/>
      <c r="J445" s="1" t="s">
        <v>42</v>
      </c>
      <c r="K445" s="1" t="s">
        <v>288</v>
      </c>
      <c r="N445" s="7"/>
      <c r="O445" s="1">
        <v>3.2</v>
      </c>
      <c r="P445" s="7"/>
      <c r="Q445" s="7"/>
      <c r="R445" s="3">
        <v>-11</v>
      </c>
      <c r="S445" s="3">
        <v>17.5</v>
      </c>
      <c r="X445" s="7"/>
      <c r="Y445" s="7"/>
      <c r="Z445" s="7"/>
    </row>
    <row r="446" spans="1:26" hidden="1">
      <c r="A446" s="1" t="s">
        <v>21</v>
      </c>
      <c r="B446" s="2">
        <v>-27.68</v>
      </c>
      <c r="C446" s="2">
        <v>-48.57</v>
      </c>
      <c r="E446" s="1" t="s">
        <v>741</v>
      </c>
      <c r="G446" s="1" t="s">
        <v>215</v>
      </c>
      <c r="H446" s="7"/>
      <c r="J446" s="1" t="s">
        <v>42</v>
      </c>
      <c r="K446" s="1" t="s">
        <v>288</v>
      </c>
      <c r="N446" s="7"/>
      <c r="O446" s="1">
        <v>3.2</v>
      </c>
      <c r="P446" s="7"/>
      <c r="Q446" s="7"/>
      <c r="R446" s="3">
        <v>-10.7</v>
      </c>
      <c r="S446" s="3">
        <v>18.2</v>
      </c>
      <c r="X446" s="7"/>
      <c r="Y446" s="7"/>
      <c r="Z446" s="7"/>
    </row>
    <row r="447" spans="1:26" hidden="1">
      <c r="A447" s="1" t="s">
        <v>21</v>
      </c>
      <c r="B447" s="2">
        <v>-27.68</v>
      </c>
      <c r="C447" s="2">
        <v>-48.57</v>
      </c>
      <c r="E447" s="1" t="s">
        <v>742</v>
      </c>
      <c r="G447" s="1" t="s">
        <v>215</v>
      </c>
      <c r="H447" s="7"/>
      <c r="J447" s="1" t="s">
        <v>42</v>
      </c>
      <c r="K447" s="1" t="s">
        <v>288</v>
      </c>
      <c r="N447" s="7"/>
      <c r="O447" s="1">
        <v>3.1</v>
      </c>
      <c r="P447" s="7"/>
      <c r="Q447" s="7"/>
      <c r="R447" s="3">
        <v>-11.1</v>
      </c>
      <c r="S447" s="3">
        <v>17.2</v>
      </c>
      <c r="X447" s="7"/>
      <c r="Y447" s="7"/>
      <c r="Z447" s="7"/>
    </row>
    <row r="448" spans="1:26" hidden="1">
      <c r="A448" s="1" t="s">
        <v>21</v>
      </c>
      <c r="B448" s="2">
        <v>-27.68</v>
      </c>
      <c r="C448" s="2">
        <v>-48.57</v>
      </c>
      <c r="E448" s="1" t="s">
        <v>743</v>
      </c>
      <c r="G448" s="1" t="s">
        <v>215</v>
      </c>
      <c r="H448" s="7"/>
      <c r="J448" s="1" t="s">
        <v>33</v>
      </c>
      <c r="K448" s="1" t="s">
        <v>288</v>
      </c>
      <c r="N448" s="7"/>
      <c r="O448" s="1">
        <v>3.4</v>
      </c>
      <c r="P448" s="7"/>
      <c r="Q448" s="7"/>
      <c r="R448" s="3">
        <v>-12.1</v>
      </c>
      <c r="S448" s="3">
        <v>17</v>
      </c>
      <c r="X448" s="7"/>
      <c r="Y448" s="7"/>
      <c r="Z448" s="7"/>
    </row>
    <row r="449" spans="1:27" hidden="1">
      <c r="A449" s="1" t="s">
        <v>21</v>
      </c>
      <c r="B449" s="2">
        <v>-27.68</v>
      </c>
      <c r="C449" s="2">
        <v>-48.57</v>
      </c>
      <c r="E449" s="1" t="s">
        <v>744</v>
      </c>
      <c r="G449" s="1" t="s">
        <v>215</v>
      </c>
      <c r="H449" s="7"/>
      <c r="J449" s="1" t="s">
        <v>33</v>
      </c>
      <c r="K449" s="1" t="s">
        <v>288</v>
      </c>
      <c r="N449" s="7"/>
      <c r="O449" s="1">
        <v>3.3</v>
      </c>
      <c r="P449" s="7"/>
      <c r="Q449" s="7"/>
      <c r="R449" s="3">
        <v>-10.3</v>
      </c>
      <c r="S449" s="3">
        <v>18.8</v>
      </c>
      <c r="X449" s="7"/>
      <c r="Y449" s="7"/>
      <c r="Z449" s="7"/>
    </row>
    <row r="450" spans="1:27" hidden="1">
      <c r="A450" s="1" t="s">
        <v>21</v>
      </c>
      <c r="B450" s="2">
        <v>-27.68</v>
      </c>
      <c r="C450" s="2">
        <v>-48.57</v>
      </c>
      <c r="E450" s="1" t="s">
        <v>745</v>
      </c>
      <c r="G450" s="1" t="s">
        <v>215</v>
      </c>
      <c r="H450" s="7"/>
      <c r="J450" s="1" t="s">
        <v>42</v>
      </c>
      <c r="K450" s="1" t="s">
        <v>288</v>
      </c>
      <c r="N450" s="7"/>
      <c r="O450" s="1">
        <v>3.2</v>
      </c>
      <c r="P450" s="7"/>
      <c r="Q450" s="7"/>
      <c r="R450" s="3">
        <v>-10.7</v>
      </c>
      <c r="S450" s="3">
        <v>16.899999999999999</v>
      </c>
      <c r="X450" s="7"/>
      <c r="Y450" s="7"/>
      <c r="Z450" s="7"/>
    </row>
    <row r="451" spans="1:27" hidden="1">
      <c r="A451" s="1" t="s">
        <v>21</v>
      </c>
      <c r="B451" s="2">
        <v>-27.68</v>
      </c>
      <c r="C451" s="2">
        <v>-48.57</v>
      </c>
      <c r="E451" s="1" t="s">
        <v>746</v>
      </c>
      <c r="G451" s="1" t="s">
        <v>215</v>
      </c>
      <c r="H451" s="7"/>
      <c r="J451" s="1" t="s">
        <v>33</v>
      </c>
      <c r="K451" s="1" t="s">
        <v>288</v>
      </c>
      <c r="N451" s="7"/>
      <c r="O451" s="1">
        <v>3.3</v>
      </c>
      <c r="P451" s="7"/>
      <c r="Q451" s="7"/>
      <c r="R451" s="3">
        <v>-10.8</v>
      </c>
      <c r="S451" s="3">
        <v>20.7</v>
      </c>
      <c r="X451" s="7"/>
      <c r="Y451" s="7"/>
      <c r="Z451" s="7"/>
    </row>
    <row r="452" spans="1:27" hidden="1">
      <c r="A452" s="1" t="s">
        <v>21</v>
      </c>
      <c r="B452" s="2">
        <v>-27.68</v>
      </c>
      <c r="C452" s="2">
        <v>-48.57</v>
      </c>
      <c r="E452" s="1" t="s">
        <v>747</v>
      </c>
      <c r="G452" s="1" t="s">
        <v>215</v>
      </c>
      <c r="H452" s="7"/>
      <c r="J452" s="1" t="s">
        <v>33</v>
      </c>
      <c r="K452" s="1" t="s">
        <v>288</v>
      </c>
      <c r="N452" s="7"/>
      <c r="O452" s="1">
        <v>3.4</v>
      </c>
      <c r="P452" s="7"/>
      <c r="Q452" s="7"/>
      <c r="R452" s="3">
        <v>-10.3</v>
      </c>
      <c r="S452" s="3">
        <v>20.8</v>
      </c>
      <c r="X452" s="7"/>
      <c r="Y452" s="7"/>
      <c r="Z452" s="7"/>
    </row>
    <row r="453" spans="1:27" s="7" customFormat="1" hidden="1">
      <c r="A453" s="1" t="s">
        <v>21</v>
      </c>
      <c r="B453" s="2">
        <v>-27.68</v>
      </c>
      <c r="C453" s="2">
        <v>-48.57</v>
      </c>
      <c r="D453" s="1"/>
      <c r="E453" s="1" t="s">
        <v>748</v>
      </c>
      <c r="F453" s="1"/>
      <c r="G453" s="1" t="s">
        <v>215</v>
      </c>
      <c r="I453" s="1"/>
      <c r="J453" s="1" t="s">
        <v>42</v>
      </c>
      <c r="K453" s="1" t="s">
        <v>288</v>
      </c>
      <c r="L453" s="1"/>
      <c r="M453" s="1"/>
      <c r="O453" s="1">
        <v>3.3</v>
      </c>
      <c r="R453" s="3">
        <v>-10.8</v>
      </c>
      <c r="S453" s="3">
        <v>20.8</v>
      </c>
      <c r="T453" s="1"/>
      <c r="U453" s="1"/>
      <c r="V453" s="1"/>
      <c r="W453" s="1"/>
      <c r="AA453" s="1"/>
    </row>
    <row r="454" spans="1:27" s="7" customFormat="1" hidden="1">
      <c r="A454" s="1" t="s">
        <v>21</v>
      </c>
      <c r="B454" s="2">
        <v>-27.68</v>
      </c>
      <c r="C454" s="2">
        <v>-48.57</v>
      </c>
      <c r="D454" s="1"/>
      <c r="E454" s="1" t="s">
        <v>749</v>
      </c>
      <c r="F454" s="1"/>
      <c r="G454" s="1" t="s">
        <v>215</v>
      </c>
      <c r="I454" s="1"/>
      <c r="J454" s="1" t="s">
        <v>42</v>
      </c>
      <c r="K454" s="1" t="s">
        <v>288</v>
      </c>
      <c r="L454" s="1"/>
      <c r="M454" s="1"/>
      <c r="O454" s="1">
        <v>3.2</v>
      </c>
      <c r="R454" s="3">
        <v>-10.9</v>
      </c>
      <c r="S454" s="3">
        <v>19.100000000000001</v>
      </c>
      <c r="T454" s="1"/>
      <c r="U454" s="1"/>
      <c r="V454" s="1"/>
      <c r="W454" s="1"/>
      <c r="AA454" s="1"/>
    </row>
    <row r="455" spans="1:27" s="7" customFormat="1" hidden="1">
      <c r="A455" s="1" t="s">
        <v>21</v>
      </c>
      <c r="B455" s="2">
        <v>-27.68</v>
      </c>
      <c r="C455" s="2">
        <v>-48.57</v>
      </c>
      <c r="D455" s="1"/>
      <c r="E455" s="1" t="s">
        <v>750</v>
      </c>
      <c r="F455" s="1"/>
      <c r="G455" s="1" t="s">
        <v>215</v>
      </c>
      <c r="I455" s="1"/>
      <c r="J455" s="1" t="s">
        <v>33</v>
      </c>
      <c r="K455" s="1" t="s">
        <v>288</v>
      </c>
      <c r="L455" s="1"/>
      <c r="M455" s="1"/>
      <c r="O455" s="1">
        <v>3.2</v>
      </c>
      <c r="R455" s="3">
        <v>-10.9</v>
      </c>
      <c r="S455" s="3">
        <v>17.3</v>
      </c>
      <c r="T455" s="1"/>
      <c r="U455" s="1"/>
      <c r="V455" s="1"/>
      <c r="W455" s="1"/>
      <c r="AA455" s="1"/>
    </row>
    <row r="456" spans="1:27" s="7" customFormat="1" hidden="1">
      <c r="A456" s="1" t="s">
        <v>21</v>
      </c>
      <c r="B456" s="2">
        <v>-27.68</v>
      </c>
      <c r="C456" s="2">
        <v>-48.57</v>
      </c>
      <c r="D456" s="1"/>
      <c r="E456" s="1" t="s">
        <v>751</v>
      </c>
      <c r="F456" s="1"/>
      <c r="G456" s="1" t="s">
        <v>215</v>
      </c>
      <c r="I456" s="1"/>
      <c r="J456" s="1" t="s">
        <v>42</v>
      </c>
      <c r="K456" s="1" t="s">
        <v>288</v>
      </c>
      <c r="L456" s="1"/>
      <c r="M456" s="1"/>
      <c r="O456" s="1">
        <v>3.2</v>
      </c>
      <c r="R456" s="3">
        <v>-12.3</v>
      </c>
      <c r="S456" s="3">
        <v>17.399999999999999</v>
      </c>
      <c r="T456" s="1"/>
      <c r="U456" s="1"/>
      <c r="V456" s="1"/>
      <c r="W456" s="1"/>
      <c r="AA456" s="1"/>
    </row>
    <row r="457" spans="1:27" s="7" customFormat="1" hidden="1">
      <c r="A457" s="1" t="s">
        <v>21</v>
      </c>
      <c r="B457" s="2">
        <v>-27.68</v>
      </c>
      <c r="C457" s="2">
        <v>-48.57</v>
      </c>
      <c r="D457" s="1"/>
      <c r="E457" s="1" t="s">
        <v>752</v>
      </c>
      <c r="F457" s="1"/>
      <c r="G457" s="1" t="s">
        <v>215</v>
      </c>
      <c r="I457" s="1"/>
      <c r="J457" s="1" t="s">
        <v>42</v>
      </c>
      <c r="K457" s="1" t="s">
        <v>288</v>
      </c>
      <c r="L457" s="1"/>
      <c r="M457" s="1"/>
      <c r="O457" s="1">
        <v>3.2</v>
      </c>
      <c r="R457" s="3">
        <v>-11.2</v>
      </c>
      <c r="S457" s="3">
        <v>16.3</v>
      </c>
      <c r="T457" s="1"/>
      <c r="U457" s="1"/>
      <c r="V457" s="1"/>
      <c r="W457" s="1"/>
      <c r="AA457" s="1"/>
    </row>
    <row r="458" spans="1:27" s="7" customFormat="1" hidden="1">
      <c r="A458" s="1" t="s">
        <v>21</v>
      </c>
      <c r="B458" s="2">
        <v>-27.68</v>
      </c>
      <c r="C458" s="2">
        <v>-48.57</v>
      </c>
      <c r="D458" s="1"/>
      <c r="E458" s="1" t="s">
        <v>753</v>
      </c>
      <c r="F458" s="1"/>
      <c r="G458" s="1" t="s">
        <v>215</v>
      </c>
      <c r="I458" s="1"/>
      <c r="J458" s="1" t="s">
        <v>42</v>
      </c>
      <c r="K458" s="1" t="s">
        <v>288</v>
      </c>
      <c r="L458" s="1"/>
      <c r="M458" s="1"/>
      <c r="O458" s="1">
        <v>3.2</v>
      </c>
      <c r="R458" s="3">
        <v>-10.4</v>
      </c>
      <c r="S458" s="3">
        <v>17</v>
      </c>
      <c r="T458" s="1"/>
      <c r="U458" s="1"/>
      <c r="V458" s="1"/>
      <c r="W458" s="1"/>
      <c r="AA458" s="1"/>
    </row>
    <row r="459" spans="1:27" s="7" customFormat="1" hidden="1">
      <c r="A459" s="1" t="s">
        <v>21</v>
      </c>
      <c r="B459" s="2">
        <v>-27.68</v>
      </c>
      <c r="C459" s="2">
        <v>-48.57</v>
      </c>
      <c r="D459" s="1"/>
      <c r="E459" s="1" t="s">
        <v>754</v>
      </c>
      <c r="F459" s="1"/>
      <c r="G459" s="1" t="s">
        <v>215</v>
      </c>
      <c r="I459" s="1"/>
      <c r="J459" s="1" t="s">
        <v>42</v>
      </c>
      <c r="K459" s="1" t="s">
        <v>288</v>
      </c>
      <c r="L459" s="1"/>
      <c r="M459" s="1"/>
      <c r="O459" s="1">
        <v>3.2</v>
      </c>
      <c r="R459" s="3">
        <v>-12.4</v>
      </c>
      <c r="S459" s="3">
        <v>19.2</v>
      </c>
      <c r="T459" s="1"/>
      <c r="U459" s="1"/>
      <c r="V459" s="1"/>
      <c r="W459" s="1"/>
      <c r="AA459" s="1"/>
    </row>
    <row r="460" spans="1:27" s="7" customFormat="1" hidden="1">
      <c r="A460" s="1" t="s">
        <v>21</v>
      </c>
      <c r="B460" s="2">
        <v>-27.68</v>
      </c>
      <c r="C460" s="2">
        <v>-48.57</v>
      </c>
      <c r="D460" s="1"/>
      <c r="E460" s="1" t="s">
        <v>755</v>
      </c>
      <c r="F460" s="1"/>
      <c r="G460" s="1" t="s">
        <v>215</v>
      </c>
      <c r="I460" s="1"/>
      <c r="J460" s="1" t="s">
        <v>33</v>
      </c>
      <c r="K460" s="1" t="s">
        <v>288</v>
      </c>
      <c r="L460" s="1"/>
      <c r="M460" s="1"/>
      <c r="O460" s="1">
        <v>3.2</v>
      </c>
      <c r="R460" s="3">
        <v>-9.9</v>
      </c>
      <c r="S460" s="3">
        <v>16.600000000000001</v>
      </c>
      <c r="T460" s="1"/>
      <c r="U460" s="1"/>
      <c r="V460" s="1"/>
      <c r="W460" s="1"/>
      <c r="AA460" s="1"/>
    </row>
    <row r="461" spans="1:27" s="7" customFormat="1" hidden="1">
      <c r="A461" s="1" t="s">
        <v>21</v>
      </c>
      <c r="B461" s="2">
        <v>-27.68</v>
      </c>
      <c r="C461" s="2">
        <v>-48.57</v>
      </c>
      <c r="D461" s="1"/>
      <c r="E461" s="1" t="s">
        <v>756</v>
      </c>
      <c r="F461" s="1"/>
      <c r="G461" s="1" t="s">
        <v>215</v>
      </c>
      <c r="I461" s="1"/>
      <c r="J461" s="1" t="s">
        <v>33</v>
      </c>
      <c r="K461" s="1" t="s">
        <v>288</v>
      </c>
      <c r="L461" s="1"/>
      <c r="M461" s="1"/>
      <c r="O461" s="1">
        <v>3.3</v>
      </c>
      <c r="R461" s="3">
        <v>-10.5</v>
      </c>
      <c r="S461" s="3">
        <v>16.399999999999999</v>
      </c>
      <c r="T461" s="1"/>
      <c r="U461" s="1"/>
      <c r="V461" s="1"/>
      <c r="W461" s="1"/>
      <c r="AA461" s="1"/>
    </row>
    <row r="462" spans="1:27" s="7" customFormat="1" hidden="1">
      <c r="A462" s="1" t="s">
        <v>21</v>
      </c>
      <c r="B462" s="2">
        <v>-27.68</v>
      </c>
      <c r="C462" s="2">
        <v>-48.57</v>
      </c>
      <c r="D462" s="1"/>
      <c r="E462" s="1" t="s">
        <v>757</v>
      </c>
      <c r="F462" s="1"/>
      <c r="G462" s="1" t="s">
        <v>215</v>
      </c>
      <c r="I462" s="1"/>
      <c r="J462" s="1" t="s">
        <v>42</v>
      </c>
      <c r="K462" s="1" t="s">
        <v>288</v>
      </c>
      <c r="L462" s="1"/>
      <c r="M462" s="1"/>
      <c r="O462" s="1">
        <v>3.3</v>
      </c>
      <c r="R462" s="3">
        <v>-12.3</v>
      </c>
      <c r="S462" s="3">
        <v>16.600000000000001</v>
      </c>
      <c r="T462" s="1"/>
      <c r="U462" s="1"/>
      <c r="V462" s="1"/>
      <c r="W462" s="1"/>
      <c r="AA462" s="1"/>
    </row>
    <row r="463" spans="1:27" s="7" customFormat="1" hidden="1">
      <c r="A463" s="1" t="s">
        <v>21</v>
      </c>
      <c r="B463" s="2">
        <v>-27.68</v>
      </c>
      <c r="C463" s="2">
        <v>-48.57</v>
      </c>
      <c r="D463" s="1"/>
      <c r="E463" s="1" t="s">
        <v>758</v>
      </c>
      <c r="F463" s="1"/>
      <c r="G463" s="1" t="s">
        <v>215</v>
      </c>
      <c r="I463" s="1"/>
      <c r="J463" s="1" t="s">
        <v>42</v>
      </c>
      <c r="K463" s="1" t="s">
        <v>288</v>
      </c>
      <c r="L463" s="1"/>
      <c r="M463" s="1"/>
      <c r="O463" s="1">
        <v>3.2</v>
      </c>
      <c r="R463" s="3">
        <v>-11.9</v>
      </c>
      <c r="S463" s="3">
        <v>20.100000000000001</v>
      </c>
      <c r="T463" s="1"/>
      <c r="U463" s="1"/>
      <c r="V463" s="1"/>
      <c r="W463" s="1"/>
      <c r="AA463" s="1"/>
    </row>
    <row r="464" spans="1:27" s="7" customFormat="1" hidden="1">
      <c r="A464" s="1" t="s">
        <v>21</v>
      </c>
      <c r="B464" s="2">
        <v>-27.68</v>
      </c>
      <c r="C464" s="2">
        <v>-48.57</v>
      </c>
      <c r="D464" s="1"/>
      <c r="E464" s="1" t="s">
        <v>759</v>
      </c>
      <c r="F464" s="1"/>
      <c r="G464" s="1" t="s">
        <v>215</v>
      </c>
      <c r="I464" s="1"/>
      <c r="J464" s="1" t="s">
        <v>33</v>
      </c>
      <c r="K464" s="1" t="s">
        <v>288</v>
      </c>
      <c r="L464" s="1"/>
      <c r="M464" s="1"/>
      <c r="O464" s="1">
        <v>3.3</v>
      </c>
      <c r="R464" s="3">
        <v>-10.7</v>
      </c>
      <c r="S464" s="3">
        <v>17</v>
      </c>
      <c r="T464" s="1"/>
      <c r="U464" s="1"/>
      <c r="V464" s="1"/>
      <c r="W464" s="1"/>
      <c r="AA464" s="1"/>
    </row>
    <row r="465" spans="1:27" s="7" customFormat="1" hidden="1">
      <c r="A465" s="1" t="s">
        <v>21</v>
      </c>
      <c r="B465" s="2">
        <v>-27.68</v>
      </c>
      <c r="C465" s="2">
        <v>-48.57</v>
      </c>
      <c r="D465" s="1"/>
      <c r="E465" s="1" t="s">
        <v>760</v>
      </c>
      <c r="F465" s="1"/>
      <c r="G465" s="1" t="s">
        <v>215</v>
      </c>
      <c r="I465" s="1"/>
      <c r="J465" s="1" t="s">
        <v>33</v>
      </c>
      <c r="K465" s="1" t="s">
        <v>288</v>
      </c>
      <c r="L465" s="1"/>
      <c r="M465" s="1"/>
      <c r="O465" s="1">
        <v>3.1</v>
      </c>
      <c r="R465" s="3">
        <v>-11</v>
      </c>
      <c r="S465" s="3">
        <v>17.5</v>
      </c>
      <c r="T465" s="1"/>
      <c r="U465" s="1"/>
      <c r="V465" s="1"/>
      <c r="W465" s="1"/>
      <c r="AA465" s="1"/>
    </row>
    <row r="466" spans="1:27" s="7" customFormat="1" hidden="1">
      <c r="A466" s="1" t="s">
        <v>21</v>
      </c>
      <c r="B466" s="2">
        <v>-27.68</v>
      </c>
      <c r="C466" s="2">
        <v>-48.57</v>
      </c>
      <c r="D466" s="1"/>
      <c r="E466" s="1" t="s">
        <v>761</v>
      </c>
      <c r="F466" s="1"/>
      <c r="G466" s="1" t="s">
        <v>215</v>
      </c>
      <c r="I466" s="1"/>
      <c r="J466" s="1" t="s">
        <v>42</v>
      </c>
      <c r="K466" s="1" t="s">
        <v>288</v>
      </c>
      <c r="L466" s="1"/>
      <c r="M466" s="1"/>
      <c r="O466" s="1">
        <v>3.1</v>
      </c>
      <c r="R466" s="3">
        <v>-9.6</v>
      </c>
      <c r="S466" s="3">
        <v>16.8</v>
      </c>
      <c r="T466" s="1"/>
      <c r="U466" s="1"/>
      <c r="V466" s="1"/>
      <c r="W466" s="1"/>
      <c r="AA466" s="1"/>
    </row>
    <row r="467" spans="1:27" s="7" customFormat="1" hidden="1">
      <c r="A467" s="1" t="s">
        <v>21</v>
      </c>
      <c r="B467" s="2">
        <v>-27.68</v>
      </c>
      <c r="C467" s="2">
        <v>-48.57</v>
      </c>
      <c r="D467" s="1"/>
      <c r="E467" s="1" t="s">
        <v>762</v>
      </c>
      <c r="F467" s="1"/>
      <c r="G467" s="1" t="s">
        <v>215</v>
      </c>
      <c r="I467" s="1"/>
      <c r="J467" s="1" t="s">
        <v>33</v>
      </c>
      <c r="K467" s="1" t="s">
        <v>288</v>
      </c>
      <c r="L467" s="1"/>
      <c r="M467" s="1"/>
      <c r="O467" s="1">
        <v>3.2</v>
      </c>
      <c r="R467" s="3">
        <v>-11.2</v>
      </c>
      <c r="S467" s="3">
        <v>16.899999999999999</v>
      </c>
      <c r="T467" s="1"/>
      <c r="U467" s="1"/>
      <c r="V467" s="1"/>
      <c r="W467" s="1"/>
      <c r="AA467" s="1"/>
    </row>
    <row r="468" spans="1:27" s="7" customFormat="1" hidden="1">
      <c r="A468" s="1" t="s">
        <v>21</v>
      </c>
      <c r="B468" s="2">
        <v>-27.68</v>
      </c>
      <c r="C468" s="2">
        <v>-48.57</v>
      </c>
      <c r="D468" s="1"/>
      <c r="E468" s="1" t="s">
        <v>763</v>
      </c>
      <c r="F468" s="1"/>
      <c r="G468" s="1" t="s">
        <v>215</v>
      </c>
      <c r="I468" s="1"/>
      <c r="J468" s="1" t="s">
        <v>42</v>
      </c>
      <c r="K468" s="1" t="s">
        <v>288</v>
      </c>
      <c r="L468" s="1"/>
      <c r="M468" s="1"/>
      <c r="O468" s="1">
        <v>3.1</v>
      </c>
      <c r="R468" s="3">
        <v>-10.5</v>
      </c>
      <c r="S468" s="3">
        <v>16.7</v>
      </c>
      <c r="T468" s="1"/>
      <c r="U468" s="1"/>
      <c r="V468" s="1"/>
      <c r="W468" s="1"/>
      <c r="AA468" s="1"/>
    </row>
    <row r="469" spans="1:27" s="7" customFormat="1" hidden="1">
      <c r="A469" s="1" t="s">
        <v>21</v>
      </c>
      <c r="B469" s="2">
        <v>-27.68</v>
      </c>
      <c r="C469" s="2">
        <v>-48.57</v>
      </c>
      <c r="D469" s="1"/>
      <c r="E469" s="1">
        <v>7</v>
      </c>
      <c r="F469" s="1"/>
      <c r="G469" s="1" t="s">
        <v>215</v>
      </c>
      <c r="I469" s="1" t="s">
        <v>41</v>
      </c>
      <c r="J469" s="1" t="s">
        <v>42</v>
      </c>
      <c r="K469" s="1" t="s">
        <v>90</v>
      </c>
      <c r="L469" s="1" t="s">
        <v>764</v>
      </c>
      <c r="M469" s="1" t="s">
        <v>551</v>
      </c>
      <c r="O469" s="1">
        <v>3.54</v>
      </c>
      <c r="R469" s="3">
        <v>-12.3</v>
      </c>
      <c r="S469" s="3">
        <v>16.2</v>
      </c>
      <c r="T469" s="1"/>
      <c r="U469" s="1"/>
      <c r="V469" s="1"/>
      <c r="W469" s="1"/>
      <c r="AA469" s="1"/>
    </row>
    <row r="470" spans="1:27" s="7" customFormat="1" hidden="1">
      <c r="A470" s="1" t="s">
        <v>21</v>
      </c>
      <c r="B470" s="2">
        <v>-27.68</v>
      </c>
      <c r="C470" s="2">
        <v>-48.57</v>
      </c>
      <c r="D470" s="1"/>
      <c r="E470" s="1">
        <v>9</v>
      </c>
      <c r="F470" s="1"/>
      <c r="G470" s="1" t="s">
        <v>215</v>
      </c>
      <c r="I470" s="1" t="s">
        <v>41</v>
      </c>
      <c r="J470" s="1" t="s">
        <v>33</v>
      </c>
      <c r="K470" s="1" t="s">
        <v>518</v>
      </c>
      <c r="L470" s="1" t="s">
        <v>765</v>
      </c>
      <c r="M470" s="1" t="s">
        <v>509</v>
      </c>
      <c r="O470" s="1">
        <v>3.33</v>
      </c>
      <c r="R470" s="3">
        <v>-10.9</v>
      </c>
      <c r="S470" s="3">
        <v>17.399999999999999</v>
      </c>
      <c r="T470" s="1"/>
      <c r="U470" s="1"/>
      <c r="V470" s="1"/>
      <c r="W470" s="1"/>
      <c r="AA470" s="1"/>
    </row>
    <row r="471" spans="1:27" s="7" customFormat="1" hidden="1">
      <c r="A471" s="1" t="s">
        <v>21</v>
      </c>
      <c r="B471" s="2">
        <v>-27.68</v>
      </c>
      <c r="C471" s="2">
        <v>-48.57</v>
      </c>
      <c r="D471" s="1"/>
      <c r="E471" s="1">
        <v>16</v>
      </c>
      <c r="F471" s="1"/>
      <c r="G471" s="1" t="s">
        <v>215</v>
      </c>
      <c r="I471" s="1" t="s">
        <v>41</v>
      </c>
      <c r="J471" s="2" t="s">
        <v>20</v>
      </c>
      <c r="K471" s="1" t="s">
        <v>31</v>
      </c>
      <c r="L471" s="1" t="s">
        <v>766</v>
      </c>
      <c r="M471" s="1" t="s">
        <v>767</v>
      </c>
      <c r="O471" s="1">
        <v>3.39</v>
      </c>
      <c r="R471" s="3">
        <v>-11.5</v>
      </c>
      <c r="S471" s="3">
        <v>17</v>
      </c>
      <c r="T471" s="1"/>
      <c r="U471" s="1"/>
      <c r="V471" s="1"/>
      <c r="W471" s="1"/>
      <c r="AA471" s="1"/>
    </row>
    <row r="472" spans="1:27" s="7" customFormat="1" hidden="1">
      <c r="A472" s="1" t="s">
        <v>21</v>
      </c>
      <c r="B472" s="2">
        <v>-27.68</v>
      </c>
      <c r="C472" s="2">
        <v>-48.57</v>
      </c>
      <c r="D472" s="1"/>
      <c r="E472" s="1">
        <v>26</v>
      </c>
      <c r="F472" s="1"/>
      <c r="G472" s="1" t="s">
        <v>215</v>
      </c>
      <c r="I472" s="1" t="s">
        <v>41</v>
      </c>
      <c r="J472" s="1" t="s">
        <v>33</v>
      </c>
      <c r="K472" s="1" t="s">
        <v>31</v>
      </c>
      <c r="L472" s="1" t="s">
        <v>768</v>
      </c>
      <c r="M472" s="1" t="s">
        <v>769</v>
      </c>
      <c r="O472" s="1">
        <v>3.3</v>
      </c>
      <c r="R472" s="3">
        <v>-9.6</v>
      </c>
      <c r="S472" s="3">
        <v>16.7</v>
      </c>
      <c r="T472" s="1"/>
      <c r="U472" s="1"/>
      <c r="V472" s="1"/>
      <c r="W472" s="1"/>
      <c r="AA472" s="1"/>
    </row>
    <row r="473" spans="1:27" s="7" customFormat="1" hidden="1">
      <c r="A473" s="1" t="s">
        <v>21</v>
      </c>
      <c r="B473" s="2">
        <v>-27.68</v>
      </c>
      <c r="C473" s="2">
        <v>-48.57</v>
      </c>
      <c r="D473" s="1"/>
      <c r="E473" s="1">
        <v>43</v>
      </c>
      <c r="F473" s="1"/>
      <c r="G473" s="1" t="s">
        <v>215</v>
      </c>
      <c r="I473" s="1" t="s">
        <v>41</v>
      </c>
      <c r="J473" s="1" t="s">
        <v>42</v>
      </c>
      <c r="K473" s="1" t="s">
        <v>518</v>
      </c>
      <c r="L473" s="1" t="s">
        <v>770</v>
      </c>
      <c r="M473" s="1" t="s">
        <v>771</v>
      </c>
      <c r="O473" s="1">
        <v>3.13</v>
      </c>
      <c r="R473" s="3">
        <v>-11.7</v>
      </c>
      <c r="S473" s="3">
        <v>16.3</v>
      </c>
      <c r="T473" s="1"/>
      <c r="U473" s="1"/>
      <c r="V473" s="1"/>
      <c r="W473" s="1"/>
      <c r="AA473" s="1"/>
    </row>
    <row r="474" spans="1:27" s="7" customFormat="1" hidden="1">
      <c r="A474" s="1" t="s">
        <v>21</v>
      </c>
      <c r="B474" s="2">
        <v>-27.68</v>
      </c>
      <c r="C474" s="2">
        <v>-48.57</v>
      </c>
      <c r="D474" s="1"/>
      <c r="E474" s="1">
        <v>49</v>
      </c>
      <c r="F474" s="1"/>
      <c r="G474" s="1" t="s">
        <v>215</v>
      </c>
      <c r="I474" s="1" t="s">
        <v>41</v>
      </c>
      <c r="J474" s="2" t="s">
        <v>20</v>
      </c>
      <c r="K474" s="1" t="s">
        <v>251</v>
      </c>
      <c r="L474" s="1" t="s">
        <v>772</v>
      </c>
      <c r="M474" s="1" t="s">
        <v>112</v>
      </c>
      <c r="O474" s="1">
        <v>3.42</v>
      </c>
      <c r="R474" s="3">
        <v>-10.6</v>
      </c>
      <c r="S474" s="3">
        <v>15.1</v>
      </c>
      <c r="T474" s="1"/>
      <c r="U474" s="1"/>
      <c r="V474" s="1"/>
      <c r="W474" s="1"/>
      <c r="AA474" s="1"/>
    </row>
    <row r="475" spans="1:27" s="7" customFormat="1" hidden="1">
      <c r="A475" s="1" t="s">
        <v>21</v>
      </c>
      <c r="B475" s="2">
        <v>-27.68</v>
      </c>
      <c r="C475" s="2">
        <v>-48.57</v>
      </c>
      <c r="D475" s="1"/>
      <c r="E475" s="1">
        <v>67</v>
      </c>
      <c r="F475" s="1"/>
      <c r="G475" s="1" t="s">
        <v>215</v>
      </c>
      <c r="I475" s="1" t="s">
        <v>41</v>
      </c>
      <c r="J475" s="1" t="s">
        <v>42</v>
      </c>
      <c r="K475" s="1" t="s">
        <v>31</v>
      </c>
      <c r="L475" s="1" t="s">
        <v>773</v>
      </c>
      <c r="M475" s="1" t="s">
        <v>774</v>
      </c>
      <c r="O475" s="1">
        <v>3.44</v>
      </c>
      <c r="R475" s="3">
        <v>-11</v>
      </c>
      <c r="S475" s="3">
        <v>16</v>
      </c>
      <c r="T475" s="1"/>
      <c r="U475" s="1"/>
      <c r="V475" s="1"/>
      <c r="W475" s="1"/>
      <c r="AA475" s="1"/>
    </row>
    <row r="476" spans="1:27" s="7" customFormat="1" hidden="1">
      <c r="A476" s="1" t="s">
        <v>21</v>
      </c>
      <c r="B476" s="2">
        <v>-27.68</v>
      </c>
      <c r="C476" s="2">
        <v>-48.57</v>
      </c>
      <c r="D476" s="1"/>
      <c r="E476" s="1">
        <v>126</v>
      </c>
      <c r="F476" s="1"/>
      <c r="G476" s="1" t="s">
        <v>215</v>
      </c>
      <c r="I476" s="1" t="s">
        <v>41</v>
      </c>
      <c r="J476" s="2" t="s">
        <v>20</v>
      </c>
      <c r="K476" s="1" t="s">
        <v>251</v>
      </c>
      <c r="L476" s="1" t="s">
        <v>311</v>
      </c>
      <c r="M476" s="1" t="s">
        <v>540</v>
      </c>
      <c r="O476" s="1">
        <v>3.51</v>
      </c>
      <c r="R476" s="3">
        <v>-11.3</v>
      </c>
      <c r="S476" s="3">
        <v>15.7</v>
      </c>
      <c r="T476" s="1"/>
      <c r="U476" s="1"/>
      <c r="V476" s="1"/>
      <c r="W476" s="1"/>
      <c r="AA476" s="1"/>
    </row>
    <row r="477" spans="1:27" s="7" customFormat="1" hidden="1">
      <c r="A477" s="1" t="s">
        <v>21</v>
      </c>
      <c r="B477" s="2">
        <v>-27.68</v>
      </c>
      <c r="C477" s="2">
        <v>-48.57</v>
      </c>
      <c r="D477" s="1"/>
      <c r="E477" s="1">
        <v>155</v>
      </c>
      <c r="F477" s="1"/>
      <c r="G477" s="1" t="s">
        <v>215</v>
      </c>
      <c r="I477" s="1" t="s">
        <v>41</v>
      </c>
      <c r="J477" s="1" t="s">
        <v>33</v>
      </c>
      <c r="K477" s="1" t="s">
        <v>31</v>
      </c>
      <c r="L477" s="1" t="s">
        <v>775</v>
      </c>
      <c r="M477" s="1" t="s">
        <v>776</v>
      </c>
      <c r="O477" s="1">
        <v>3.52</v>
      </c>
      <c r="R477" s="3">
        <v>-10.5</v>
      </c>
      <c r="S477" s="3">
        <v>15.5</v>
      </c>
      <c r="T477" s="1"/>
      <c r="U477" s="1"/>
      <c r="V477" s="1"/>
      <c r="W477" s="1"/>
      <c r="AA477" s="1"/>
    </row>
    <row r="478" spans="1:27" s="7" customFormat="1" hidden="1">
      <c r="A478" s="1" t="s">
        <v>21</v>
      </c>
      <c r="B478" s="2">
        <v>-27.68</v>
      </c>
      <c r="C478" s="2">
        <v>-48.57</v>
      </c>
      <c r="D478" s="1"/>
      <c r="E478" s="1">
        <v>14</v>
      </c>
      <c r="F478" s="1"/>
      <c r="G478" s="1" t="s">
        <v>215</v>
      </c>
      <c r="I478" s="1" t="s">
        <v>41</v>
      </c>
      <c r="J478" s="1" t="s">
        <v>42</v>
      </c>
      <c r="K478" s="1" t="s">
        <v>31</v>
      </c>
      <c r="L478" s="1" t="s">
        <v>777</v>
      </c>
      <c r="M478" s="1" t="s">
        <v>510</v>
      </c>
      <c r="O478" s="1">
        <v>3.5</v>
      </c>
      <c r="R478" s="3">
        <v>-12.1</v>
      </c>
      <c r="S478" s="3">
        <v>16.899999999999999</v>
      </c>
      <c r="T478" s="1"/>
      <c r="U478" s="1"/>
      <c r="V478" s="1"/>
      <c r="W478" s="1"/>
      <c r="AA478" s="1"/>
    </row>
    <row r="479" spans="1:27" s="7" customFormat="1" hidden="1">
      <c r="A479" s="1" t="s">
        <v>21</v>
      </c>
      <c r="B479" s="2">
        <v>-27.68</v>
      </c>
      <c r="C479" s="2">
        <v>-48.57</v>
      </c>
      <c r="D479" s="1"/>
      <c r="E479" s="1">
        <v>28</v>
      </c>
      <c r="F479" s="1"/>
      <c r="G479" s="1" t="s">
        <v>215</v>
      </c>
      <c r="I479" s="1" t="s">
        <v>41</v>
      </c>
      <c r="J479" s="1" t="s">
        <v>33</v>
      </c>
      <c r="K479" s="1" t="s">
        <v>90</v>
      </c>
      <c r="L479" s="1" t="s">
        <v>778</v>
      </c>
      <c r="M479" s="1" t="s">
        <v>516</v>
      </c>
      <c r="O479" s="1">
        <v>3.41</v>
      </c>
      <c r="R479" s="3">
        <v>-11.2</v>
      </c>
      <c r="S479" s="3">
        <v>16.100000000000001</v>
      </c>
      <c r="T479" s="1"/>
      <c r="U479" s="1"/>
      <c r="V479" s="1"/>
      <c r="W479" s="1"/>
      <c r="AA479" s="1"/>
    </row>
    <row r="480" spans="1:27" s="7" customFormat="1" hidden="1">
      <c r="A480" s="1" t="s">
        <v>21</v>
      </c>
      <c r="B480" s="2">
        <v>-27.68</v>
      </c>
      <c r="C480" s="2">
        <v>-48.57</v>
      </c>
      <c r="D480" s="1"/>
      <c r="E480" s="1">
        <v>41</v>
      </c>
      <c r="F480" s="1"/>
      <c r="G480" s="1" t="s">
        <v>215</v>
      </c>
      <c r="I480" s="1" t="s">
        <v>41</v>
      </c>
      <c r="J480" s="1" t="s">
        <v>42</v>
      </c>
      <c r="K480" s="1" t="s">
        <v>31</v>
      </c>
      <c r="L480" s="1" t="s">
        <v>779</v>
      </c>
      <c r="M480" s="1" t="s">
        <v>74</v>
      </c>
      <c r="O480" s="1">
        <v>3.42</v>
      </c>
      <c r="R480" s="3">
        <v>-11.9</v>
      </c>
      <c r="S480" s="3">
        <v>17.600000000000001</v>
      </c>
      <c r="T480" s="1"/>
      <c r="U480" s="1"/>
      <c r="V480" s="1"/>
      <c r="W480" s="1"/>
      <c r="AA480" s="1"/>
    </row>
    <row r="481" spans="1:27" s="7" customFormat="1" hidden="1">
      <c r="A481" s="1" t="s">
        <v>21</v>
      </c>
      <c r="B481" s="2">
        <v>-27.68</v>
      </c>
      <c r="C481" s="2">
        <v>-48.57</v>
      </c>
      <c r="D481" s="1"/>
      <c r="E481" s="1">
        <v>72</v>
      </c>
      <c r="F481" s="1"/>
      <c r="G481" s="1" t="s">
        <v>215</v>
      </c>
      <c r="I481" s="1" t="s">
        <v>41</v>
      </c>
      <c r="J481" s="1" t="s">
        <v>42</v>
      </c>
      <c r="K481" s="1" t="s">
        <v>31</v>
      </c>
      <c r="L481" s="1" t="s">
        <v>780</v>
      </c>
      <c r="M481" s="1" t="s">
        <v>781</v>
      </c>
      <c r="O481" s="1">
        <v>3.28</v>
      </c>
      <c r="R481" s="3">
        <v>-10.8</v>
      </c>
      <c r="S481" s="3">
        <v>16.600000000000001</v>
      </c>
      <c r="T481" s="1"/>
      <c r="U481" s="1"/>
      <c r="V481" s="1"/>
      <c r="W481" s="1"/>
      <c r="AA481" s="1"/>
    </row>
    <row r="482" spans="1:27" s="7" customFormat="1" hidden="1">
      <c r="A482" s="1" t="s">
        <v>21</v>
      </c>
      <c r="B482" s="2">
        <v>-27.68</v>
      </c>
      <c r="C482" s="2">
        <v>-48.57</v>
      </c>
      <c r="D482" s="1"/>
      <c r="E482" s="1">
        <v>73</v>
      </c>
      <c r="F482" s="1"/>
      <c r="G482" s="1" t="s">
        <v>215</v>
      </c>
      <c r="I482" s="1" t="s">
        <v>41</v>
      </c>
      <c r="J482" s="1" t="s">
        <v>42</v>
      </c>
      <c r="K482" s="1" t="s">
        <v>251</v>
      </c>
      <c r="L482" s="1" t="s">
        <v>782</v>
      </c>
      <c r="M482" s="1" t="s">
        <v>783</v>
      </c>
      <c r="O482" s="1">
        <v>3.29</v>
      </c>
      <c r="R482" s="3">
        <v>-11.4</v>
      </c>
      <c r="S482" s="3">
        <v>17.100000000000001</v>
      </c>
      <c r="T482" s="1"/>
      <c r="U482" s="1"/>
      <c r="V482" s="1"/>
      <c r="W482" s="1"/>
      <c r="AA482" s="1"/>
    </row>
    <row r="483" spans="1:27" s="7" customFormat="1" hidden="1">
      <c r="A483" s="1" t="s">
        <v>21</v>
      </c>
      <c r="B483" s="2">
        <v>-27.68</v>
      </c>
      <c r="C483" s="2">
        <v>-48.57</v>
      </c>
      <c r="D483" s="1"/>
      <c r="E483" s="1">
        <v>125</v>
      </c>
      <c r="F483" s="1"/>
      <c r="G483" s="1" t="s">
        <v>215</v>
      </c>
      <c r="I483" s="1" t="s">
        <v>41</v>
      </c>
      <c r="J483" s="1" t="s">
        <v>33</v>
      </c>
      <c r="K483" s="1" t="s">
        <v>31</v>
      </c>
      <c r="L483" s="1" t="s">
        <v>784</v>
      </c>
      <c r="M483" s="1" t="s">
        <v>785</v>
      </c>
      <c r="O483" s="1">
        <v>3.24</v>
      </c>
      <c r="R483" s="3">
        <v>-10.9</v>
      </c>
      <c r="S483" s="3">
        <v>17.100000000000001</v>
      </c>
      <c r="T483" s="1"/>
      <c r="U483" s="1"/>
      <c r="V483" s="1"/>
      <c r="W483" s="1"/>
      <c r="AA483" s="1"/>
    </row>
    <row r="484" spans="1:27" s="7" customFormat="1" hidden="1">
      <c r="A484" s="1" t="s">
        <v>21</v>
      </c>
      <c r="B484" s="2">
        <v>-27.68</v>
      </c>
      <c r="C484" s="2">
        <v>-48.57</v>
      </c>
      <c r="D484" s="1"/>
      <c r="E484" s="1">
        <v>152</v>
      </c>
      <c r="F484" s="1"/>
      <c r="G484" s="1" t="s">
        <v>215</v>
      </c>
      <c r="I484" s="1" t="s">
        <v>41</v>
      </c>
      <c r="J484" s="1" t="s">
        <v>42</v>
      </c>
      <c r="K484" s="1" t="s">
        <v>90</v>
      </c>
      <c r="L484" s="1" t="s">
        <v>786</v>
      </c>
      <c r="M484" s="1" t="s">
        <v>514</v>
      </c>
      <c r="O484" s="1">
        <v>3.3</v>
      </c>
      <c r="R484" s="3">
        <v>-12</v>
      </c>
      <c r="S484" s="3">
        <v>17.399999999999999</v>
      </c>
      <c r="T484" s="1"/>
      <c r="U484" s="1"/>
      <c r="V484" s="1"/>
      <c r="W484" s="1"/>
      <c r="AA484" s="1"/>
    </row>
    <row r="485" spans="1:27" s="7" customFormat="1" hidden="1">
      <c r="A485" s="1" t="s">
        <v>21</v>
      </c>
      <c r="B485" s="2">
        <v>-27.68</v>
      </c>
      <c r="C485" s="2">
        <v>-48.57</v>
      </c>
      <c r="D485" s="1"/>
      <c r="E485" s="1">
        <v>158</v>
      </c>
      <c r="F485" s="1"/>
      <c r="G485" s="1" t="s">
        <v>215</v>
      </c>
      <c r="I485" s="1" t="s">
        <v>32</v>
      </c>
      <c r="J485" s="1" t="s">
        <v>33</v>
      </c>
      <c r="K485" s="1" t="s">
        <v>31</v>
      </c>
      <c r="L485" s="1" t="s">
        <v>513</v>
      </c>
      <c r="M485" s="1" t="s">
        <v>74</v>
      </c>
      <c r="O485" s="1">
        <v>3.32</v>
      </c>
      <c r="R485" s="3">
        <v>-10.4</v>
      </c>
      <c r="S485" s="3">
        <v>16.899999999999999</v>
      </c>
      <c r="T485" s="1"/>
      <c r="U485" s="1"/>
      <c r="V485" s="1"/>
      <c r="W485" s="1"/>
      <c r="AA485" s="1"/>
    </row>
    <row r="486" spans="1:27" s="7" customFormat="1" hidden="1">
      <c r="A486" s="1" t="s">
        <v>787</v>
      </c>
      <c r="B486" s="2">
        <v>-26.372596999999999</v>
      </c>
      <c r="C486" s="2">
        <v>-48.723064000000001</v>
      </c>
      <c r="D486" s="1" t="s">
        <v>788</v>
      </c>
      <c r="E486" s="1" t="s">
        <v>789</v>
      </c>
      <c r="F486" s="1"/>
      <c r="G486" s="1" t="s">
        <v>26</v>
      </c>
      <c r="H486" s="1"/>
      <c r="I486" s="1" t="s">
        <v>20</v>
      </c>
      <c r="J486" s="2" t="s">
        <v>20</v>
      </c>
      <c r="K486" s="1" t="s">
        <v>584</v>
      </c>
      <c r="L486" s="3">
        <v>42</v>
      </c>
      <c r="M486" s="3">
        <v>14.9</v>
      </c>
      <c r="N486" s="3">
        <v>0.19</v>
      </c>
      <c r="O486" s="3">
        <v>3.3</v>
      </c>
      <c r="P486" s="6">
        <v>589.47368421052636</v>
      </c>
      <c r="Q486" s="6">
        <f t="shared" ref="Q486:Q498" si="33">M486/N486*32/14</f>
        <v>179.24812030075188</v>
      </c>
      <c r="R486" s="3">
        <v>-13.7</v>
      </c>
      <c r="S486" s="3">
        <v>11.1</v>
      </c>
      <c r="T486" s="3">
        <v>9.3000000000000007</v>
      </c>
      <c r="U486" s="1">
        <f t="shared" ref="U486:U498" si="34">R486-1</f>
        <v>-14.7</v>
      </c>
      <c r="V486" s="1">
        <f t="shared" ref="V486:V498" si="35">S486-3.4</f>
        <v>7.6999999999999993</v>
      </c>
      <c r="W486" s="1">
        <f t="shared" ref="W486:W498" si="36">T486+1.5</f>
        <v>10.8</v>
      </c>
      <c r="X486" s="3" t="s">
        <v>11</v>
      </c>
      <c r="Y486" s="1" t="s">
        <v>12</v>
      </c>
      <c r="Z486" s="1" t="s">
        <v>888</v>
      </c>
      <c r="AA486" s="1"/>
    </row>
    <row r="487" spans="1:27" s="7" customFormat="1" hidden="1">
      <c r="A487" s="1" t="s">
        <v>787</v>
      </c>
      <c r="B487" s="2">
        <v>-26.372596999999999</v>
      </c>
      <c r="C487" s="2">
        <v>-48.723064000000001</v>
      </c>
      <c r="D487" s="1" t="s">
        <v>790</v>
      </c>
      <c r="E487" s="1" t="s">
        <v>791</v>
      </c>
      <c r="F487" s="1"/>
      <c r="G487" s="1" t="s">
        <v>26</v>
      </c>
      <c r="H487" s="1"/>
      <c r="I487" s="1" t="s">
        <v>20</v>
      </c>
      <c r="J487" s="2" t="s">
        <v>20</v>
      </c>
      <c r="K487" s="1" t="s">
        <v>27</v>
      </c>
      <c r="L487" s="3">
        <v>38.4</v>
      </c>
      <c r="M487" s="3">
        <v>14</v>
      </c>
      <c r="N487" s="3">
        <v>0.2</v>
      </c>
      <c r="O487" s="3">
        <v>3.2</v>
      </c>
      <c r="P487" s="6">
        <v>511.99999999999994</v>
      </c>
      <c r="Q487" s="6">
        <f t="shared" si="33"/>
        <v>160</v>
      </c>
      <c r="R487" s="3">
        <v>-15.4</v>
      </c>
      <c r="S487" s="3">
        <v>15.9</v>
      </c>
      <c r="T487" s="3">
        <v>11.1</v>
      </c>
      <c r="U487" s="1">
        <f t="shared" si="34"/>
        <v>-16.399999999999999</v>
      </c>
      <c r="V487" s="1">
        <f t="shared" si="35"/>
        <v>12.5</v>
      </c>
      <c r="W487" s="1">
        <f t="shared" si="36"/>
        <v>12.6</v>
      </c>
      <c r="X487" s="3" t="s">
        <v>11</v>
      </c>
      <c r="Y487" s="1" t="s">
        <v>12</v>
      </c>
      <c r="Z487" s="1" t="s">
        <v>888</v>
      </c>
      <c r="AA487" s="1"/>
    </row>
    <row r="488" spans="1:27" s="7" customFormat="1" hidden="1">
      <c r="A488" s="1" t="s">
        <v>792</v>
      </c>
      <c r="B488" s="2">
        <v>-26.338201000000002</v>
      </c>
      <c r="C488" s="2">
        <v>-48.672777000000004</v>
      </c>
      <c r="D488" s="1" t="s">
        <v>793</v>
      </c>
      <c r="E488" s="1" t="s">
        <v>794</v>
      </c>
      <c r="F488" s="1"/>
      <c r="G488" s="1" t="s">
        <v>26</v>
      </c>
      <c r="H488" s="1"/>
      <c r="I488" s="1" t="s">
        <v>20</v>
      </c>
      <c r="J488" s="2" t="s">
        <v>20</v>
      </c>
      <c r="K488" s="1" t="s">
        <v>233</v>
      </c>
      <c r="L488" s="3">
        <v>35.5</v>
      </c>
      <c r="M488" s="3">
        <v>12.7</v>
      </c>
      <c r="N488" s="3">
        <v>0.17</v>
      </c>
      <c r="O488" s="3">
        <v>3.3</v>
      </c>
      <c r="P488" s="6">
        <v>556.86274509803923</v>
      </c>
      <c r="Q488" s="6">
        <f t="shared" si="33"/>
        <v>170.75630252100839</v>
      </c>
      <c r="R488" s="3">
        <v>-14.8</v>
      </c>
      <c r="S488" s="3">
        <v>11.1</v>
      </c>
      <c r="T488" s="3">
        <v>8.4</v>
      </c>
      <c r="U488" s="1">
        <f t="shared" si="34"/>
        <v>-15.8</v>
      </c>
      <c r="V488" s="1">
        <f t="shared" si="35"/>
        <v>7.6999999999999993</v>
      </c>
      <c r="W488" s="1">
        <f t="shared" si="36"/>
        <v>9.9</v>
      </c>
      <c r="X488" s="3" t="s">
        <v>11</v>
      </c>
      <c r="Y488" s="3" t="s">
        <v>12</v>
      </c>
      <c r="Z488" s="1" t="s">
        <v>888</v>
      </c>
      <c r="AA488" s="1"/>
    </row>
    <row r="489" spans="1:27" s="7" customFormat="1" hidden="1">
      <c r="A489" s="1" t="s">
        <v>795</v>
      </c>
      <c r="B489" s="11">
        <v>-26.276178085549802</v>
      </c>
      <c r="C489" s="11">
        <v>-48.807173658618701</v>
      </c>
      <c r="D489" s="1"/>
      <c r="E489" s="1" t="s">
        <v>796</v>
      </c>
      <c r="F489" s="1"/>
      <c r="G489" s="1" t="s">
        <v>26</v>
      </c>
      <c r="H489" s="1"/>
      <c r="I489" s="1" t="s">
        <v>20</v>
      </c>
      <c r="J489" s="2" t="s">
        <v>20</v>
      </c>
      <c r="K489" s="1" t="s">
        <v>31</v>
      </c>
      <c r="L489" s="3">
        <v>37.299999999999997</v>
      </c>
      <c r="M489" s="3">
        <v>12.6</v>
      </c>
      <c r="N489" s="3">
        <v>0.19</v>
      </c>
      <c r="O489" s="3">
        <v>3.5</v>
      </c>
      <c r="P489" s="6">
        <v>523.50877192982455</v>
      </c>
      <c r="Q489" s="6">
        <f t="shared" si="33"/>
        <v>151.57894736842104</v>
      </c>
      <c r="R489" s="3">
        <v>-13.2</v>
      </c>
      <c r="S489" s="3">
        <v>14.2</v>
      </c>
      <c r="T489" s="3">
        <v>10.4</v>
      </c>
      <c r="U489" s="1">
        <f t="shared" si="34"/>
        <v>-14.2</v>
      </c>
      <c r="V489" s="1">
        <f t="shared" si="35"/>
        <v>10.799999999999999</v>
      </c>
      <c r="W489" s="1">
        <f t="shared" si="36"/>
        <v>11.9</v>
      </c>
      <c r="X489" s="3" t="s">
        <v>11</v>
      </c>
      <c r="Y489" s="3" t="s">
        <v>12</v>
      </c>
      <c r="Z489" s="1" t="s">
        <v>888</v>
      </c>
      <c r="AA489" s="1"/>
    </row>
    <row r="490" spans="1:27" s="7" customFormat="1" hidden="1">
      <c r="A490" s="1" t="s">
        <v>795</v>
      </c>
      <c r="B490" s="11">
        <v>-26.276178085549802</v>
      </c>
      <c r="C490" s="11">
        <v>-48.807173658618701</v>
      </c>
      <c r="D490" s="1" t="s">
        <v>797</v>
      </c>
      <c r="E490" s="1" t="s">
        <v>798</v>
      </c>
      <c r="F490" s="1"/>
      <c r="G490" s="1" t="s">
        <v>26</v>
      </c>
      <c r="H490" s="1"/>
      <c r="I490" s="1" t="s">
        <v>32</v>
      </c>
      <c r="J490" s="1" t="s">
        <v>42</v>
      </c>
      <c r="K490" s="1" t="s">
        <v>27</v>
      </c>
      <c r="L490" s="3">
        <v>40.5</v>
      </c>
      <c r="M490" s="3">
        <v>14.5</v>
      </c>
      <c r="N490" s="3">
        <v>0.2</v>
      </c>
      <c r="O490" s="3">
        <v>3.3</v>
      </c>
      <c r="P490" s="6">
        <v>540</v>
      </c>
      <c r="Q490" s="6">
        <f t="shared" si="33"/>
        <v>165.71428571428572</v>
      </c>
      <c r="R490" s="3">
        <v>-12.2</v>
      </c>
      <c r="S490" s="3">
        <v>14.8</v>
      </c>
      <c r="T490" s="3">
        <v>10.5</v>
      </c>
      <c r="U490" s="1">
        <f t="shared" si="34"/>
        <v>-13.2</v>
      </c>
      <c r="V490" s="1">
        <f t="shared" si="35"/>
        <v>11.4</v>
      </c>
      <c r="W490" s="1">
        <f t="shared" si="36"/>
        <v>12</v>
      </c>
      <c r="X490" s="3" t="s">
        <v>14</v>
      </c>
      <c r="Y490" s="3" t="s">
        <v>13</v>
      </c>
      <c r="Z490" s="1" t="s">
        <v>888</v>
      </c>
      <c r="AA490" s="1"/>
    </row>
    <row r="491" spans="1:27" s="7" customFormat="1" hidden="1">
      <c r="A491" s="1" t="s">
        <v>795</v>
      </c>
      <c r="B491" s="11">
        <v>-26.276178085549802</v>
      </c>
      <c r="C491" s="11">
        <v>-48.807173658618701</v>
      </c>
      <c r="D491" s="1" t="s">
        <v>799</v>
      </c>
      <c r="E491" s="1" t="s">
        <v>796</v>
      </c>
      <c r="F491" s="1"/>
      <c r="G491" s="1" t="s">
        <v>26</v>
      </c>
      <c r="H491" s="1"/>
      <c r="I491" s="1" t="s">
        <v>32</v>
      </c>
      <c r="J491" s="1" t="s">
        <v>33</v>
      </c>
      <c r="K491" s="1" t="s">
        <v>31</v>
      </c>
      <c r="L491" s="3">
        <v>37.799999999999997</v>
      </c>
      <c r="M491" s="3">
        <v>13.2</v>
      </c>
      <c r="N491" s="3">
        <v>0.2</v>
      </c>
      <c r="O491" s="3">
        <v>3.3</v>
      </c>
      <c r="P491" s="6">
        <v>503.99999999999994</v>
      </c>
      <c r="Q491" s="6">
        <f t="shared" si="33"/>
        <v>150.85714285714283</v>
      </c>
      <c r="R491" s="3">
        <v>-12.5</v>
      </c>
      <c r="S491" s="3">
        <v>13.4</v>
      </c>
      <c r="T491" s="3">
        <v>11.1</v>
      </c>
      <c r="U491" s="1">
        <f t="shared" si="34"/>
        <v>-13.5</v>
      </c>
      <c r="V491" s="1">
        <f t="shared" si="35"/>
        <v>10</v>
      </c>
      <c r="W491" s="1">
        <f t="shared" si="36"/>
        <v>12.6</v>
      </c>
      <c r="X491" s="3" t="s">
        <v>14</v>
      </c>
      <c r="Y491" s="3" t="s">
        <v>13</v>
      </c>
      <c r="Z491" s="1" t="s">
        <v>888</v>
      </c>
      <c r="AA491" s="1"/>
    </row>
    <row r="492" spans="1:27" s="7" customFormat="1" hidden="1">
      <c r="A492" s="1" t="s">
        <v>795</v>
      </c>
      <c r="B492" s="11">
        <v>-26.276178085549802</v>
      </c>
      <c r="C492" s="11">
        <v>-48.807173658618701</v>
      </c>
      <c r="D492" s="1" t="s">
        <v>800</v>
      </c>
      <c r="E492" s="1" t="s">
        <v>801</v>
      </c>
      <c r="F492" s="1"/>
      <c r="G492" s="1" t="s">
        <v>26</v>
      </c>
      <c r="H492" s="1"/>
      <c r="I492" s="1" t="s">
        <v>32</v>
      </c>
      <c r="J492" s="1" t="s">
        <v>42</v>
      </c>
      <c r="K492" s="1" t="s">
        <v>31</v>
      </c>
      <c r="L492" s="3">
        <v>26</v>
      </c>
      <c r="M492" s="3">
        <v>9.1</v>
      </c>
      <c r="N492" s="3">
        <v>0.2</v>
      </c>
      <c r="O492" s="3">
        <v>3.3</v>
      </c>
      <c r="P492" s="6">
        <v>346.66666666666669</v>
      </c>
      <c r="Q492" s="6">
        <f t="shared" si="33"/>
        <v>103.99999999999999</v>
      </c>
      <c r="R492" s="3">
        <v>-13</v>
      </c>
      <c r="S492" s="3">
        <v>12.8</v>
      </c>
      <c r="T492" s="3">
        <v>10.8</v>
      </c>
      <c r="U492" s="1">
        <f t="shared" si="34"/>
        <v>-14</v>
      </c>
      <c r="V492" s="1">
        <f t="shared" si="35"/>
        <v>9.4</v>
      </c>
      <c r="W492" s="1">
        <f t="shared" si="36"/>
        <v>12.3</v>
      </c>
      <c r="X492" s="3" t="s">
        <v>14</v>
      </c>
      <c r="Y492" s="3" t="s">
        <v>13</v>
      </c>
      <c r="Z492" s="1" t="s">
        <v>888</v>
      </c>
      <c r="AA492" s="1"/>
    </row>
    <row r="493" spans="1:27" s="7" customFormat="1" hidden="1">
      <c r="A493" s="1" t="s">
        <v>795</v>
      </c>
      <c r="B493" s="11">
        <v>-26.276178085549802</v>
      </c>
      <c r="C493" s="11">
        <v>-48.807173658618701</v>
      </c>
      <c r="D493" s="1" t="s">
        <v>802</v>
      </c>
      <c r="E493" s="1" t="s">
        <v>803</v>
      </c>
      <c r="F493" s="1"/>
      <c r="G493" s="1" t="s">
        <v>26</v>
      </c>
      <c r="H493" s="1"/>
      <c r="I493" s="1" t="s">
        <v>41</v>
      </c>
      <c r="J493" s="2" t="s">
        <v>20</v>
      </c>
      <c r="K493" s="1" t="s">
        <v>31</v>
      </c>
      <c r="L493" s="3">
        <v>33.1</v>
      </c>
      <c r="M493" s="3">
        <v>10.9</v>
      </c>
      <c r="N493" s="3">
        <v>0.2</v>
      </c>
      <c r="O493" s="3">
        <v>3.5</v>
      </c>
      <c r="P493" s="6">
        <v>441.33333333333331</v>
      </c>
      <c r="Q493" s="6">
        <f t="shared" si="33"/>
        <v>124.57142857142857</v>
      </c>
      <c r="R493" s="3">
        <v>-13.9</v>
      </c>
      <c r="S493" s="3">
        <v>12.4</v>
      </c>
      <c r="T493" s="3">
        <v>9.4</v>
      </c>
      <c r="U493" s="1">
        <f t="shared" si="34"/>
        <v>-14.9</v>
      </c>
      <c r="V493" s="1">
        <f t="shared" si="35"/>
        <v>9</v>
      </c>
      <c r="W493" s="1">
        <f t="shared" si="36"/>
        <v>10.9</v>
      </c>
      <c r="X493" s="3" t="s">
        <v>14</v>
      </c>
      <c r="Y493" s="3" t="s">
        <v>13</v>
      </c>
      <c r="Z493" s="1" t="s">
        <v>888</v>
      </c>
      <c r="AA493" s="1"/>
    </row>
    <row r="494" spans="1:27" s="7" customFormat="1" hidden="1">
      <c r="A494" s="1" t="s">
        <v>795</v>
      </c>
      <c r="B494" s="11">
        <v>-26.276178085549802</v>
      </c>
      <c r="C494" s="11">
        <v>-48.807173658618701</v>
      </c>
      <c r="D494" s="1" t="s">
        <v>804</v>
      </c>
      <c r="E494" s="1" t="s">
        <v>281</v>
      </c>
      <c r="F494" s="1"/>
      <c r="G494" s="1" t="s">
        <v>26</v>
      </c>
      <c r="H494" s="1"/>
      <c r="I494" s="1" t="s">
        <v>41</v>
      </c>
      <c r="J494" s="1" t="s">
        <v>42</v>
      </c>
      <c r="K494" s="1" t="s">
        <v>27</v>
      </c>
      <c r="L494" s="3">
        <v>16.2</v>
      </c>
      <c r="M494" s="3">
        <v>5.5</v>
      </c>
      <c r="N494" s="3">
        <v>0.2</v>
      </c>
      <c r="O494" s="3">
        <v>3.4</v>
      </c>
      <c r="P494" s="6">
        <v>215.99999999999997</v>
      </c>
      <c r="Q494" s="6">
        <f t="shared" si="33"/>
        <v>62.857142857142854</v>
      </c>
      <c r="R494" s="3">
        <v>-14.1</v>
      </c>
      <c r="S494" s="3">
        <v>11.7</v>
      </c>
      <c r="T494" s="3">
        <v>10</v>
      </c>
      <c r="U494" s="1">
        <f t="shared" si="34"/>
        <v>-15.1</v>
      </c>
      <c r="V494" s="1">
        <f t="shared" si="35"/>
        <v>8.2999999999999989</v>
      </c>
      <c r="W494" s="1">
        <f t="shared" si="36"/>
        <v>11.5</v>
      </c>
      <c r="X494" s="3" t="s">
        <v>14</v>
      </c>
      <c r="Y494" s="3" t="s">
        <v>13</v>
      </c>
      <c r="Z494" s="1" t="s">
        <v>888</v>
      </c>
      <c r="AA494" s="1"/>
    </row>
    <row r="495" spans="1:27" s="7" customFormat="1" hidden="1">
      <c r="A495" s="1" t="s">
        <v>795</v>
      </c>
      <c r="B495" s="11">
        <v>-26.276178085549802</v>
      </c>
      <c r="C495" s="11">
        <v>-48.807173658618701</v>
      </c>
      <c r="D495" s="1" t="s">
        <v>805</v>
      </c>
      <c r="E495" s="1" t="s">
        <v>806</v>
      </c>
      <c r="F495" s="1"/>
      <c r="G495" s="1" t="s">
        <v>26</v>
      </c>
      <c r="H495" s="1"/>
      <c r="I495" s="1" t="s">
        <v>807</v>
      </c>
      <c r="J495" s="2" t="s">
        <v>20</v>
      </c>
      <c r="K495" s="1" t="s">
        <v>31</v>
      </c>
      <c r="L495" s="3">
        <v>21.1</v>
      </c>
      <c r="M495" s="3">
        <v>7</v>
      </c>
      <c r="N495" s="3">
        <v>0.2</v>
      </c>
      <c r="O495" s="3">
        <v>3.5</v>
      </c>
      <c r="P495" s="6">
        <v>281.33333333333331</v>
      </c>
      <c r="Q495" s="6">
        <f t="shared" si="33"/>
        <v>80</v>
      </c>
      <c r="R495" s="3">
        <v>-13.4</v>
      </c>
      <c r="S495" s="3">
        <v>12.2</v>
      </c>
      <c r="T495" s="3">
        <v>9.1999999999999993</v>
      </c>
      <c r="U495" s="1">
        <f t="shared" si="34"/>
        <v>-14.4</v>
      </c>
      <c r="V495" s="1">
        <f t="shared" si="35"/>
        <v>8.7999999999999989</v>
      </c>
      <c r="W495" s="1">
        <f t="shared" si="36"/>
        <v>10.7</v>
      </c>
      <c r="X495" s="3" t="s">
        <v>14</v>
      </c>
      <c r="Y495" s="3" t="s">
        <v>13</v>
      </c>
      <c r="Z495" s="1" t="s">
        <v>888</v>
      </c>
      <c r="AA495" s="1"/>
    </row>
    <row r="496" spans="1:27" s="7" customFormat="1" hidden="1">
      <c r="A496" s="1" t="s">
        <v>795</v>
      </c>
      <c r="B496" s="11">
        <v>-26.276178085549802</v>
      </c>
      <c r="C496" s="11">
        <v>-48.807173658618701</v>
      </c>
      <c r="D496" s="1" t="s">
        <v>808</v>
      </c>
      <c r="E496" s="1" t="s">
        <v>137</v>
      </c>
      <c r="F496" s="1"/>
      <c r="G496" s="1" t="s">
        <v>26</v>
      </c>
      <c r="H496" s="1"/>
      <c r="I496" s="1" t="s">
        <v>41</v>
      </c>
      <c r="J496" s="1" t="s">
        <v>33</v>
      </c>
      <c r="K496" s="1" t="s">
        <v>31</v>
      </c>
      <c r="L496" s="3">
        <v>32.700000000000003</v>
      </c>
      <c r="M496" s="3">
        <v>11.4</v>
      </c>
      <c r="N496" s="3">
        <v>0.2</v>
      </c>
      <c r="O496" s="3">
        <v>3.3</v>
      </c>
      <c r="P496" s="6">
        <v>436</v>
      </c>
      <c r="Q496" s="6">
        <f t="shared" si="33"/>
        <v>130.28571428571428</v>
      </c>
      <c r="R496" s="3">
        <v>-12.2</v>
      </c>
      <c r="S496" s="3">
        <v>12.9</v>
      </c>
      <c r="T496" s="3">
        <v>10.3</v>
      </c>
      <c r="U496" s="1">
        <f t="shared" si="34"/>
        <v>-13.2</v>
      </c>
      <c r="V496" s="1">
        <f t="shared" si="35"/>
        <v>9.5</v>
      </c>
      <c r="W496" s="1">
        <f t="shared" si="36"/>
        <v>11.8</v>
      </c>
      <c r="X496" s="3" t="s">
        <v>14</v>
      </c>
      <c r="Y496" s="3" t="s">
        <v>13</v>
      </c>
      <c r="Z496" s="1" t="s">
        <v>888</v>
      </c>
      <c r="AA496" s="1"/>
    </row>
    <row r="497" spans="1:27" s="7" customFormat="1" hidden="1">
      <c r="A497" s="1" t="s">
        <v>795</v>
      </c>
      <c r="B497" s="11">
        <v>-26.276178085549802</v>
      </c>
      <c r="C497" s="11">
        <v>-48.807173658618701</v>
      </c>
      <c r="D497" s="1" t="s">
        <v>809</v>
      </c>
      <c r="E497" s="1" t="s">
        <v>810</v>
      </c>
      <c r="F497" s="1"/>
      <c r="G497" s="1" t="s">
        <v>26</v>
      </c>
      <c r="H497" s="1"/>
      <c r="I497" s="1" t="s">
        <v>811</v>
      </c>
      <c r="J497" s="2" t="s">
        <v>20</v>
      </c>
      <c r="K497" s="1" t="s">
        <v>31</v>
      </c>
      <c r="L497" s="3">
        <v>35.1</v>
      </c>
      <c r="M497" s="3">
        <v>12.3</v>
      </c>
      <c r="N497" s="3">
        <v>0.2</v>
      </c>
      <c r="O497" s="3">
        <v>3.3</v>
      </c>
      <c r="P497" s="6">
        <v>468</v>
      </c>
      <c r="Q497" s="6">
        <f t="shared" si="33"/>
        <v>140.57142857142858</v>
      </c>
      <c r="R497" s="3">
        <v>-15.2</v>
      </c>
      <c r="S497" s="3">
        <v>12.4</v>
      </c>
      <c r="T497" s="3">
        <v>10.6</v>
      </c>
      <c r="U497" s="1">
        <f t="shared" si="34"/>
        <v>-16.2</v>
      </c>
      <c r="V497" s="1">
        <f t="shared" si="35"/>
        <v>9</v>
      </c>
      <c r="W497" s="1">
        <f t="shared" si="36"/>
        <v>12.1</v>
      </c>
      <c r="X497" s="3" t="s">
        <v>14</v>
      </c>
      <c r="Y497" s="3" t="s">
        <v>13</v>
      </c>
      <c r="Z497" s="1" t="s">
        <v>888</v>
      </c>
      <c r="AA497" s="1"/>
    </row>
    <row r="498" spans="1:27" s="7" customFormat="1" hidden="1">
      <c r="A498" s="1" t="s">
        <v>795</v>
      </c>
      <c r="B498" s="11">
        <v>-26.276178085549802</v>
      </c>
      <c r="C498" s="11">
        <v>-48.807173658618701</v>
      </c>
      <c r="D498" s="1" t="s">
        <v>812</v>
      </c>
      <c r="E498" s="1" t="s">
        <v>813</v>
      </c>
      <c r="F498" s="1"/>
      <c r="G498" s="1" t="s">
        <v>26</v>
      </c>
      <c r="H498" s="1"/>
      <c r="I498" s="1" t="s">
        <v>610</v>
      </c>
      <c r="J498" s="1" t="s">
        <v>42</v>
      </c>
      <c r="K498" s="1" t="s">
        <v>31</v>
      </c>
      <c r="L498" s="3">
        <v>35.5</v>
      </c>
      <c r="M498" s="3">
        <v>12.7</v>
      </c>
      <c r="N498" s="3">
        <v>0.3</v>
      </c>
      <c r="O498" s="3">
        <v>3.3</v>
      </c>
      <c r="P498" s="6">
        <v>315.5555555555556</v>
      </c>
      <c r="Q498" s="6">
        <f t="shared" si="33"/>
        <v>96.761904761904773</v>
      </c>
      <c r="R498" s="3">
        <v>-13.4</v>
      </c>
      <c r="S498" s="3">
        <v>14.5</v>
      </c>
      <c r="T498" s="3">
        <v>10.4</v>
      </c>
      <c r="U498" s="1">
        <f t="shared" si="34"/>
        <v>-14.4</v>
      </c>
      <c r="V498" s="1">
        <f t="shared" si="35"/>
        <v>11.1</v>
      </c>
      <c r="W498" s="1">
        <f t="shared" si="36"/>
        <v>11.9</v>
      </c>
      <c r="X498" s="3" t="s">
        <v>14</v>
      </c>
      <c r="Y498" s="3" t="s">
        <v>13</v>
      </c>
      <c r="Z498" s="1" t="s">
        <v>888</v>
      </c>
      <c r="AA498" s="1"/>
    </row>
    <row r="499" spans="1:27" s="7" customFormat="1" hidden="1">
      <c r="A499" s="1" t="s">
        <v>814</v>
      </c>
      <c r="B499" s="2">
        <v>-26.276178085549802</v>
      </c>
      <c r="C499" s="2">
        <v>-48.807173658618701</v>
      </c>
      <c r="D499" s="1"/>
      <c r="E499" s="1">
        <v>37</v>
      </c>
      <c r="F499" s="1"/>
      <c r="G499" s="1" t="s">
        <v>26</v>
      </c>
      <c r="H499" s="1"/>
      <c r="I499" s="1" t="s">
        <v>41</v>
      </c>
      <c r="J499" s="1" t="s">
        <v>93</v>
      </c>
      <c r="K499" s="1" t="s">
        <v>90</v>
      </c>
      <c r="L499" s="1" t="s">
        <v>815</v>
      </c>
      <c r="M499" s="1" t="s">
        <v>816</v>
      </c>
      <c r="N499" s="1"/>
      <c r="O499" s="1" t="s">
        <v>817</v>
      </c>
      <c r="P499" s="1"/>
      <c r="Q499" s="1"/>
      <c r="R499" s="3">
        <v>-13.4</v>
      </c>
      <c r="S499" s="3">
        <v>13.6</v>
      </c>
      <c r="T499" s="1"/>
      <c r="U499" s="1"/>
      <c r="V499" s="1"/>
      <c r="W499" s="1"/>
      <c r="X499" s="1"/>
      <c r="Y499" s="1"/>
      <c r="Z499" s="1"/>
      <c r="AA499" s="1"/>
    </row>
    <row r="500" spans="1:27" s="7" customFormat="1" hidden="1">
      <c r="A500" s="1" t="s">
        <v>814</v>
      </c>
      <c r="B500" s="2">
        <v>-26.276178085549802</v>
      </c>
      <c r="C500" s="2">
        <v>-48.807173658618701</v>
      </c>
      <c r="D500" s="1"/>
      <c r="E500" s="1">
        <v>40</v>
      </c>
      <c r="F500" s="1"/>
      <c r="G500" s="1" t="s">
        <v>26</v>
      </c>
      <c r="H500" s="1"/>
      <c r="I500" s="1" t="s">
        <v>41</v>
      </c>
      <c r="J500" s="1" t="s">
        <v>258</v>
      </c>
      <c r="K500" s="1" t="s">
        <v>172</v>
      </c>
      <c r="L500" s="1" t="s">
        <v>818</v>
      </c>
      <c r="M500" s="1" t="s">
        <v>512</v>
      </c>
      <c r="N500" s="1"/>
      <c r="O500" s="1" t="s">
        <v>527</v>
      </c>
      <c r="P500" s="1"/>
      <c r="Q500" s="1"/>
      <c r="R500" s="3">
        <v>-11.7</v>
      </c>
      <c r="S500" s="3">
        <v>14.5</v>
      </c>
      <c r="T500" s="1"/>
      <c r="U500" s="1"/>
      <c r="V500" s="1"/>
      <c r="W500" s="1"/>
      <c r="X500" s="1"/>
      <c r="Y500" s="1"/>
      <c r="Z500" s="1"/>
      <c r="AA500" s="1"/>
    </row>
    <row r="501" spans="1:27" s="7" customFormat="1" hidden="1">
      <c r="A501" s="1" t="s">
        <v>814</v>
      </c>
      <c r="B501" s="2">
        <v>-26.276178085549802</v>
      </c>
      <c r="C501" s="2">
        <v>-48.807173658618701</v>
      </c>
      <c r="D501" s="1"/>
      <c r="E501" s="1">
        <v>53</v>
      </c>
      <c r="F501" s="1"/>
      <c r="G501" s="1" t="s">
        <v>26</v>
      </c>
      <c r="H501" s="1"/>
      <c r="I501" s="1" t="s">
        <v>41</v>
      </c>
      <c r="J501" s="2" t="s">
        <v>20</v>
      </c>
      <c r="K501" s="1" t="s">
        <v>94</v>
      </c>
      <c r="L501" s="1" t="s">
        <v>819</v>
      </c>
      <c r="M501" s="1" t="s">
        <v>820</v>
      </c>
      <c r="N501" s="1"/>
      <c r="O501" s="1" t="s">
        <v>527</v>
      </c>
      <c r="P501" s="1"/>
      <c r="Q501" s="1"/>
      <c r="R501" s="3">
        <v>-12.7</v>
      </c>
      <c r="S501" s="3">
        <v>14.2</v>
      </c>
      <c r="T501" s="1"/>
      <c r="U501" s="1"/>
      <c r="V501" s="1"/>
      <c r="W501" s="1"/>
      <c r="X501" s="1"/>
      <c r="Y501" s="1"/>
      <c r="Z501" s="1"/>
      <c r="AA501" s="1"/>
    </row>
    <row r="502" spans="1:27" s="7" customFormat="1" hidden="1">
      <c r="A502" s="1" t="s">
        <v>814</v>
      </c>
      <c r="B502" s="2">
        <v>-26.276178085549802</v>
      </c>
      <c r="C502" s="2">
        <v>-48.807173658618701</v>
      </c>
      <c r="D502" s="1"/>
      <c r="E502" s="1">
        <v>22</v>
      </c>
      <c r="F502" s="1"/>
      <c r="G502" s="1" t="s">
        <v>26</v>
      </c>
      <c r="H502" s="1"/>
      <c r="I502" s="1" t="s">
        <v>41</v>
      </c>
      <c r="J502" s="2" t="s">
        <v>20</v>
      </c>
      <c r="K502" s="1" t="s">
        <v>94</v>
      </c>
      <c r="L502" s="1" t="s">
        <v>821</v>
      </c>
      <c r="M502" s="1" t="s">
        <v>822</v>
      </c>
      <c r="N502" s="1"/>
      <c r="O502" s="1" t="s">
        <v>612</v>
      </c>
      <c r="P502" s="1"/>
      <c r="Q502" s="1"/>
      <c r="R502" s="3">
        <v>-12.5</v>
      </c>
      <c r="S502" s="3">
        <v>13.54</v>
      </c>
      <c r="T502" s="1"/>
      <c r="U502" s="1"/>
      <c r="V502" s="1"/>
      <c r="W502" s="1"/>
      <c r="X502" s="1"/>
      <c r="Y502" s="1"/>
      <c r="Z502" s="1"/>
      <c r="AA502" s="1"/>
    </row>
    <row r="503" spans="1:27" hidden="1">
      <c r="A503" s="1" t="s">
        <v>814</v>
      </c>
      <c r="B503" s="2">
        <v>-26.276178085549802</v>
      </c>
      <c r="C503" s="2">
        <v>-48.807173658618701</v>
      </c>
      <c r="E503" s="1" t="s">
        <v>823</v>
      </c>
      <c r="G503" s="1" t="s">
        <v>26</v>
      </c>
      <c r="I503" s="1" t="s">
        <v>32</v>
      </c>
      <c r="J503" s="1" t="s">
        <v>33</v>
      </c>
      <c r="K503" s="1" t="s">
        <v>31</v>
      </c>
      <c r="L503" s="1" t="s">
        <v>824</v>
      </c>
      <c r="M503" s="1" t="s">
        <v>515</v>
      </c>
      <c r="O503" s="1" t="s">
        <v>511</v>
      </c>
      <c r="R503" s="3">
        <v>-12.5</v>
      </c>
      <c r="S503" s="3">
        <v>13.4</v>
      </c>
    </row>
    <row r="504" spans="1:27" hidden="1">
      <c r="A504" s="1" t="s">
        <v>814</v>
      </c>
      <c r="B504" s="2">
        <v>-26.276178085549802</v>
      </c>
      <c r="C504" s="2">
        <v>-48.807173658618701</v>
      </c>
      <c r="E504" s="1" t="s">
        <v>825</v>
      </c>
      <c r="G504" s="1" t="s">
        <v>26</v>
      </c>
      <c r="I504" s="1" t="s">
        <v>610</v>
      </c>
      <c r="J504" s="1" t="s">
        <v>33</v>
      </c>
      <c r="K504" s="1" t="s">
        <v>613</v>
      </c>
      <c r="L504" s="1" t="s">
        <v>826</v>
      </c>
      <c r="M504" s="1" t="s">
        <v>509</v>
      </c>
      <c r="O504" s="1" t="s">
        <v>511</v>
      </c>
      <c r="R504" s="3">
        <v>-11.4</v>
      </c>
      <c r="S504" s="3">
        <v>15</v>
      </c>
    </row>
    <row r="505" spans="1:27" hidden="1">
      <c r="A505" s="1" t="s">
        <v>814</v>
      </c>
      <c r="B505" s="2">
        <v>-26.276178085549802</v>
      </c>
      <c r="C505" s="2">
        <v>-48.807173658618701</v>
      </c>
      <c r="E505" s="1" t="s">
        <v>827</v>
      </c>
      <c r="G505" s="1" t="s">
        <v>26</v>
      </c>
      <c r="I505" s="1" t="s">
        <v>610</v>
      </c>
      <c r="J505" s="1" t="s">
        <v>42</v>
      </c>
      <c r="K505" s="1" t="s">
        <v>31</v>
      </c>
      <c r="L505" s="1" t="s">
        <v>828</v>
      </c>
      <c r="M505" s="1" t="s">
        <v>829</v>
      </c>
      <c r="O505" s="1" t="s">
        <v>614</v>
      </c>
      <c r="R505" s="3">
        <v>-12.6</v>
      </c>
      <c r="S505" s="3">
        <v>13.6</v>
      </c>
    </row>
    <row r="506" spans="1:27" hidden="1">
      <c r="A506" s="1" t="s">
        <v>814</v>
      </c>
      <c r="B506" s="2">
        <v>-26.276178085549802</v>
      </c>
      <c r="C506" s="2">
        <v>-48.807173658618701</v>
      </c>
      <c r="E506" s="1" t="s">
        <v>830</v>
      </c>
      <c r="G506" s="1" t="s">
        <v>26</v>
      </c>
      <c r="I506" s="1" t="s">
        <v>32</v>
      </c>
      <c r="J506" s="1" t="s">
        <v>33</v>
      </c>
      <c r="K506" s="1" t="s">
        <v>31</v>
      </c>
      <c r="L506" s="1" t="s">
        <v>831</v>
      </c>
      <c r="M506" s="1" t="s">
        <v>832</v>
      </c>
      <c r="O506" s="1" t="s">
        <v>833</v>
      </c>
      <c r="R506" s="3">
        <v>-13.4</v>
      </c>
      <c r="S506" s="3">
        <v>12.9</v>
      </c>
    </row>
    <row r="507" spans="1:27" hidden="1">
      <c r="A507" s="1" t="s">
        <v>814</v>
      </c>
      <c r="B507" s="2">
        <v>-26.276178085549802</v>
      </c>
      <c r="C507" s="2">
        <v>-48.807173658618701</v>
      </c>
      <c r="E507" s="1" t="s">
        <v>834</v>
      </c>
      <c r="G507" s="1" t="s">
        <v>26</v>
      </c>
      <c r="I507" s="1" t="s">
        <v>610</v>
      </c>
      <c r="J507" s="1" t="s">
        <v>33</v>
      </c>
      <c r="K507" s="1" t="s">
        <v>31</v>
      </c>
      <c r="L507" s="1">
        <v>41</v>
      </c>
      <c r="M507" s="1" t="s">
        <v>516</v>
      </c>
      <c r="O507" s="1" t="s">
        <v>511</v>
      </c>
      <c r="R507" s="3">
        <v>-13.9</v>
      </c>
      <c r="S507" s="3">
        <v>16.3</v>
      </c>
    </row>
    <row r="508" spans="1:27" hidden="1">
      <c r="A508" s="1" t="s">
        <v>884</v>
      </c>
      <c r="B508" s="2">
        <v>-25.43</v>
      </c>
      <c r="C508" s="2">
        <v>-48.37</v>
      </c>
      <c r="D508" s="1" t="s">
        <v>835</v>
      </c>
      <c r="E508" s="1" t="s">
        <v>836</v>
      </c>
      <c r="G508" s="1" t="s">
        <v>26</v>
      </c>
      <c r="I508" s="1" t="s">
        <v>20</v>
      </c>
      <c r="J508" s="2" t="s">
        <v>20</v>
      </c>
      <c r="K508" s="1" t="s">
        <v>94</v>
      </c>
      <c r="L508" s="3">
        <v>42</v>
      </c>
      <c r="M508" s="3">
        <v>14.3</v>
      </c>
      <c r="N508" s="3">
        <v>0.18</v>
      </c>
      <c r="O508" s="3">
        <v>3.4</v>
      </c>
      <c r="P508" s="6">
        <v>622.22222222222229</v>
      </c>
      <c r="Q508" s="6">
        <f t="shared" ref="Q508:Q523" si="37">M508/N508*32/14</f>
        <v>181.58730158730162</v>
      </c>
      <c r="R508" s="3">
        <v>-19.3</v>
      </c>
      <c r="S508" s="3">
        <v>9.4</v>
      </c>
      <c r="T508" s="3">
        <v>8.1999999999999993</v>
      </c>
      <c r="U508" s="1">
        <f t="shared" ref="U508:U523" si="38">R508-1</f>
        <v>-20.3</v>
      </c>
      <c r="V508" s="1">
        <f t="shared" ref="V508:V523" si="39">S508-3.4</f>
        <v>6</v>
      </c>
      <c r="W508" s="1">
        <f t="shared" ref="W508:W523" si="40">T508+1.5</f>
        <v>9.6999999999999993</v>
      </c>
      <c r="X508" s="3" t="s">
        <v>11</v>
      </c>
      <c r="Y508" s="3" t="s">
        <v>12</v>
      </c>
      <c r="Z508" s="1" t="s">
        <v>888</v>
      </c>
    </row>
    <row r="509" spans="1:27" hidden="1">
      <c r="A509" s="1" t="s">
        <v>884</v>
      </c>
      <c r="B509" s="2">
        <v>-25.43</v>
      </c>
      <c r="C509" s="2">
        <v>-48.37</v>
      </c>
      <c r="D509" s="1" t="s">
        <v>837</v>
      </c>
      <c r="E509" s="1" t="s">
        <v>838</v>
      </c>
      <c r="G509" s="1" t="s">
        <v>26</v>
      </c>
      <c r="I509" s="1" t="s">
        <v>20</v>
      </c>
      <c r="J509" s="2" t="s">
        <v>20</v>
      </c>
      <c r="K509" s="1" t="s">
        <v>27</v>
      </c>
      <c r="L509" s="3">
        <v>41</v>
      </c>
      <c r="M509" s="3">
        <v>13.4</v>
      </c>
      <c r="N509" s="3">
        <v>0.15</v>
      </c>
      <c r="O509" s="3">
        <v>3.6</v>
      </c>
      <c r="P509" s="6">
        <v>728.88888888888903</v>
      </c>
      <c r="Q509" s="6">
        <f t="shared" si="37"/>
        <v>204.1904761904762</v>
      </c>
      <c r="R509" s="3">
        <v>-13.6</v>
      </c>
      <c r="S509" s="3">
        <v>14.5</v>
      </c>
      <c r="T509" s="3">
        <v>8.5</v>
      </c>
      <c r="U509" s="1">
        <f t="shared" si="38"/>
        <v>-14.6</v>
      </c>
      <c r="V509" s="1">
        <f t="shared" si="39"/>
        <v>11.1</v>
      </c>
      <c r="W509" s="1">
        <f t="shared" si="40"/>
        <v>10</v>
      </c>
      <c r="X509" s="3" t="s">
        <v>11</v>
      </c>
      <c r="Y509" s="3" t="s">
        <v>12</v>
      </c>
      <c r="Z509" s="1" t="s">
        <v>888</v>
      </c>
    </row>
    <row r="510" spans="1:27" hidden="1">
      <c r="A510" s="1" t="s">
        <v>884</v>
      </c>
      <c r="B510" s="2">
        <v>-25.43</v>
      </c>
      <c r="C510" s="2">
        <v>-48.37</v>
      </c>
      <c r="D510" s="1" t="s">
        <v>839</v>
      </c>
      <c r="E510" s="1" t="s">
        <v>840</v>
      </c>
      <c r="G510" s="1" t="s">
        <v>26</v>
      </c>
      <c r="I510" s="1" t="s">
        <v>20</v>
      </c>
      <c r="J510" s="2" t="s">
        <v>20</v>
      </c>
      <c r="K510" s="1" t="s">
        <v>94</v>
      </c>
      <c r="L510" s="3">
        <v>33.1</v>
      </c>
      <c r="M510" s="3">
        <v>11.7</v>
      </c>
      <c r="N510" s="3">
        <v>0.15</v>
      </c>
      <c r="O510" s="3">
        <v>3.3</v>
      </c>
      <c r="P510" s="6">
        <v>588.44444444444446</v>
      </c>
      <c r="Q510" s="6">
        <f t="shared" si="37"/>
        <v>178.28571428571428</v>
      </c>
      <c r="R510" s="3">
        <v>-18.7</v>
      </c>
      <c r="S510" s="3">
        <v>9.9</v>
      </c>
      <c r="T510" s="3">
        <v>9.1999999999999993</v>
      </c>
      <c r="U510" s="1">
        <f t="shared" si="38"/>
        <v>-19.7</v>
      </c>
      <c r="V510" s="1">
        <f t="shared" si="39"/>
        <v>6.5</v>
      </c>
      <c r="W510" s="1">
        <f t="shared" si="40"/>
        <v>10.7</v>
      </c>
      <c r="X510" s="3" t="s">
        <v>11</v>
      </c>
      <c r="Y510" s="1" t="s">
        <v>12</v>
      </c>
      <c r="Z510" s="1" t="s">
        <v>888</v>
      </c>
    </row>
    <row r="511" spans="1:27" hidden="1">
      <c r="A511" s="1" t="s">
        <v>885</v>
      </c>
      <c r="B511" s="2">
        <v>-25.565899999999999</v>
      </c>
      <c r="C511" s="2">
        <v>-48.414499999999997</v>
      </c>
      <c r="D511" s="1" t="s">
        <v>841</v>
      </c>
      <c r="E511" s="1" t="s">
        <v>842</v>
      </c>
      <c r="G511" s="1" t="s">
        <v>26</v>
      </c>
      <c r="I511" s="1" t="s">
        <v>20</v>
      </c>
      <c r="J511" s="2" t="s">
        <v>20</v>
      </c>
      <c r="K511" s="1" t="s">
        <v>31</v>
      </c>
      <c r="L511" s="3">
        <v>38.1</v>
      </c>
      <c r="M511" s="3">
        <v>13.1</v>
      </c>
      <c r="N511" s="3">
        <v>0.19</v>
      </c>
      <c r="O511" s="3">
        <v>3.4</v>
      </c>
      <c r="P511" s="6">
        <v>534.73684210526324</v>
      </c>
      <c r="Q511" s="6">
        <f t="shared" si="37"/>
        <v>157.59398496240601</v>
      </c>
      <c r="R511" s="3">
        <v>-11.6</v>
      </c>
      <c r="S511" s="3">
        <v>15.2</v>
      </c>
      <c r="T511" s="3">
        <v>9.9</v>
      </c>
      <c r="U511" s="1">
        <f t="shared" si="38"/>
        <v>-12.6</v>
      </c>
      <c r="V511" s="1">
        <f t="shared" si="39"/>
        <v>11.799999999999999</v>
      </c>
      <c r="W511" s="1">
        <f t="shared" si="40"/>
        <v>11.4</v>
      </c>
      <c r="X511" s="3" t="s">
        <v>11</v>
      </c>
      <c r="Y511" s="1" t="s">
        <v>12</v>
      </c>
      <c r="Z511" s="1" t="s">
        <v>888</v>
      </c>
    </row>
    <row r="512" spans="1:27" hidden="1">
      <c r="A512" s="1" t="s">
        <v>885</v>
      </c>
      <c r="B512" s="2">
        <v>-25.565899999999999</v>
      </c>
      <c r="C512" s="2">
        <v>-48.414499999999997</v>
      </c>
      <c r="D512" s="1" t="s">
        <v>843</v>
      </c>
      <c r="E512" s="1" t="s">
        <v>844</v>
      </c>
      <c r="G512" s="1" t="s">
        <v>26</v>
      </c>
      <c r="I512" s="1" t="s">
        <v>20</v>
      </c>
      <c r="J512" s="2" t="s">
        <v>20</v>
      </c>
      <c r="K512" s="1" t="s">
        <v>94</v>
      </c>
      <c r="L512" s="3">
        <v>38.1</v>
      </c>
      <c r="M512" s="3">
        <v>12.8</v>
      </c>
      <c r="N512" s="3">
        <v>0.16</v>
      </c>
      <c r="O512" s="3">
        <v>3.5</v>
      </c>
      <c r="P512" s="6">
        <v>635</v>
      </c>
      <c r="Q512" s="6">
        <f t="shared" si="37"/>
        <v>182.85714285714286</v>
      </c>
      <c r="R512" s="3">
        <v>-10.8</v>
      </c>
      <c r="S512" s="3">
        <v>14.9</v>
      </c>
      <c r="T512" s="3">
        <v>8.9</v>
      </c>
      <c r="U512" s="1">
        <f t="shared" si="38"/>
        <v>-11.8</v>
      </c>
      <c r="V512" s="1">
        <f t="shared" si="39"/>
        <v>11.5</v>
      </c>
      <c r="W512" s="1">
        <f t="shared" si="40"/>
        <v>10.4</v>
      </c>
      <c r="X512" s="3" t="s">
        <v>11</v>
      </c>
      <c r="Y512" s="1" t="s">
        <v>12</v>
      </c>
      <c r="Z512" s="1" t="s">
        <v>888</v>
      </c>
    </row>
    <row r="513" spans="1:26" hidden="1">
      <c r="A513" s="1" t="s">
        <v>885</v>
      </c>
      <c r="B513" s="2">
        <v>-25.565899999999999</v>
      </c>
      <c r="C513" s="2">
        <v>-48.414499999999997</v>
      </c>
      <c r="D513" s="1" t="s">
        <v>845</v>
      </c>
      <c r="E513" s="1" t="s">
        <v>846</v>
      </c>
      <c r="G513" s="1" t="s">
        <v>26</v>
      </c>
      <c r="I513" s="1" t="s">
        <v>20</v>
      </c>
      <c r="J513" s="2" t="s">
        <v>20</v>
      </c>
      <c r="K513" s="1" t="s">
        <v>94</v>
      </c>
      <c r="L513" s="3">
        <v>30.4</v>
      </c>
      <c r="M513" s="3">
        <v>10.8</v>
      </c>
      <c r="N513" s="3">
        <v>0.16</v>
      </c>
      <c r="O513" s="3">
        <v>3.3</v>
      </c>
      <c r="P513" s="6">
        <v>506.66666666666669</v>
      </c>
      <c r="Q513" s="6">
        <f t="shared" si="37"/>
        <v>154.28571428571428</v>
      </c>
      <c r="R513" s="3">
        <v>-11</v>
      </c>
      <c r="S513" s="3">
        <v>15.9</v>
      </c>
      <c r="T513" s="3">
        <v>11.1</v>
      </c>
      <c r="U513" s="1">
        <f t="shared" si="38"/>
        <v>-12</v>
      </c>
      <c r="V513" s="1">
        <f t="shared" si="39"/>
        <v>12.5</v>
      </c>
      <c r="W513" s="1">
        <f t="shared" si="40"/>
        <v>12.6</v>
      </c>
      <c r="X513" s="3" t="s">
        <v>11</v>
      </c>
      <c r="Y513" s="1" t="s">
        <v>12</v>
      </c>
      <c r="Z513" s="1" t="s">
        <v>888</v>
      </c>
    </row>
    <row r="514" spans="1:26" hidden="1">
      <c r="A514" s="1" t="s">
        <v>885</v>
      </c>
      <c r="B514" s="2">
        <v>-25.565899999999999</v>
      </c>
      <c r="C514" s="2">
        <v>-48.414499999999997</v>
      </c>
      <c r="D514" s="1" t="s">
        <v>847</v>
      </c>
      <c r="E514" s="1" t="s">
        <v>848</v>
      </c>
      <c r="G514" s="1" t="s">
        <v>26</v>
      </c>
      <c r="I514" s="1" t="s">
        <v>20</v>
      </c>
      <c r="J514" s="2" t="s">
        <v>20</v>
      </c>
      <c r="K514" s="1" t="s">
        <v>94</v>
      </c>
      <c r="L514" s="3">
        <v>28.9</v>
      </c>
      <c r="M514" s="3">
        <v>10.19</v>
      </c>
      <c r="N514" s="3">
        <v>0.16</v>
      </c>
      <c r="O514" s="3">
        <v>3.31</v>
      </c>
      <c r="P514" s="6">
        <v>481.66666666666669</v>
      </c>
      <c r="Q514" s="6">
        <f t="shared" si="37"/>
        <v>145.57142857142856</v>
      </c>
      <c r="R514" s="3">
        <v>-11.8</v>
      </c>
      <c r="S514" s="3">
        <v>14.26</v>
      </c>
      <c r="T514" s="3">
        <v>9.18</v>
      </c>
      <c r="U514" s="1">
        <f t="shared" si="38"/>
        <v>-12.8</v>
      </c>
      <c r="V514" s="1">
        <f t="shared" si="39"/>
        <v>10.86</v>
      </c>
      <c r="W514" s="1">
        <f t="shared" si="40"/>
        <v>10.68</v>
      </c>
      <c r="X514" s="3" t="s">
        <v>11</v>
      </c>
      <c r="Y514" s="1" t="s">
        <v>12</v>
      </c>
      <c r="Z514" s="1" t="s">
        <v>888</v>
      </c>
    </row>
    <row r="515" spans="1:26" hidden="1">
      <c r="A515" s="1" t="s">
        <v>885</v>
      </c>
      <c r="B515" s="2">
        <v>-25.565899999999999</v>
      </c>
      <c r="C515" s="2">
        <v>-48.414499999999997</v>
      </c>
      <c r="D515" s="1" t="s">
        <v>849</v>
      </c>
      <c r="E515" s="1" t="s">
        <v>850</v>
      </c>
      <c r="G515" s="1" t="s">
        <v>26</v>
      </c>
      <c r="I515" s="1" t="s">
        <v>20</v>
      </c>
      <c r="J515" s="2" t="s">
        <v>20</v>
      </c>
      <c r="K515" s="1" t="s">
        <v>31</v>
      </c>
      <c r="L515" s="3">
        <v>26.6</v>
      </c>
      <c r="M515" s="3">
        <v>9.4</v>
      </c>
      <c r="N515" s="3">
        <v>0.19</v>
      </c>
      <c r="O515" s="3">
        <v>3.3</v>
      </c>
      <c r="P515" s="6">
        <v>373.33333333333331</v>
      </c>
      <c r="Q515" s="6">
        <f t="shared" si="37"/>
        <v>113.0827067669173</v>
      </c>
      <c r="R515" s="3">
        <v>-13.1</v>
      </c>
      <c r="S515" s="3">
        <v>14.2</v>
      </c>
      <c r="T515" s="3">
        <v>7.7</v>
      </c>
      <c r="U515" s="1">
        <f t="shared" si="38"/>
        <v>-14.1</v>
      </c>
      <c r="V515" s="1">
        <f t="shared" si="39"/>
        <v>10.799999999999999</v>
      </c>
      <c r="W515" s="1">
        <f t="shared" si="40"/>
        <v>9.1999999999999993</v>
      </c>
      <c r="X515" s="3" t="s">
        <v>11</v>
      </c>
      <c r="Y515" s="1" t="s">
        <v>12</v>
      </c>
      <c r="Z515" s="1" t="s">
        <v>888</v>
      </c>
    </row>
    <row r="516" spans="1:26" hidden="1">
      <c r="A516" s="1" t="s">
        <v>851</v>
      </c>
      <c r="B516" s="2">
        <v>-26.3649139480999</v>
      </c>
      <c r="C516" s="2">
        <v>-48.688863739276101</v>
      </c>
      <c r="D516" s="1" t="s">
        <v>852</v>
      </c>
      <c r="E516" s="1" t="s">
        <v>853</v>
      </c>
      <c r="G516" s="1" t="s">
        <v>26</v>
      </c>
      <c r="I516" s="1" t="s">
        <v>20</v>
      </c>
      <c r="J516" s="2" t="s">
        <v>20</v>
      </c>
      <c r="K516" s="1" t="s">
        <v>27</v>
      </c>
      <c r="L516" s="3">
        <v>37.5</v>
      </c>
      <c r="M516" s="3">
        <v>13.3</v>
      </c>
      <c r="N516" s="3">
        <v>0.17</v>
      </c>
      <c r="O516" s="3">
        <v>3.3</v>
      </c>
      <c r="P516" s="6">
        <v>588.23529411764696</v>
      </c>
      <c r="Q516" s="6">
        <f t="shared" si="37"/>
        <v>178.8235294117647</v>
      </c>
      <c r="R516" s="3">
        <v>-14.7</v>
      </c>
      <c r="S516" s="3">
        <v>14.5</v>
      </c>
      <c r="T516" s="3">
        <v>9.3000000000000007</v>
      </c>
      <c r="U516" s="1">
        <f t="shared" si="38"/>
        <v>-15.7</v>
      </c>
      <c r="V516" s="1">
        <f t="shared" si="39"/>
        <v>11.1</v>
      </c>
      <c r="W516" s="1">
        <f t="shared" si="40"/>
        <v>10.8</v>
      </c>
      <c r="X516" s="3" t="s">
        <v>11</v>
      </c>
      <c r="Y516" s="1" t="s">
        <v>12</v>
      </c>
      <c r="Z516" s="1" t="s">
        <v>888</v>
      </c>
    </row>
    <row r="517" spans="1:26" hidden="1">
      <c r="A517" s="1" t="s">
        <v>851</v>
      </c>
      <c r="B517" s="2">
        <v>-26.3649139480999</v>
      </c>
      <c r="C517" s="2">
        <v>-48.688863739276101</v>
      </c>
      <c r="D517" s="1" t="s">
        <v>854</v>
      </c>
      <c r="E517" s="1" t="s">
        <v>855</v>
      </c>
      <c r="G517" s="1" t="s">
        <v>26</v>
      </c>
      <c r="I517" s="1" t="s">
        <v>20</v>
      </c>
      <c r="J517" s="2" t="s">
        <v>20</v>
      </c>
      <c r="K517" s="1" t="s">
        <v>27</v>
      </c>
      <c r="L517" s="3">
        <v>23.6</v>
      </c>
      <c r="M517" s="3">
        <v>8.4</v>
      </c>
      <c r="N517" s="3">
        <v>0.16</v>
      </c>
      <c r="O517" s="3">
        <v>3.3</v>
      </c>
      <c r="P517" s="6">
        <v>393.33333333333331</v>
      </c>
      <c r="Q517" s="6">
        <f t="shared" si="37"/>
        <v>120</v>
      </c>
      <c r="R517" s="3">
        <v>-10.9</v>
      </c>
      <c r="S517" s="3">
        <v>14.8</v>
      </c>
      <c r="T517" s="3">
        <v>9.1999999999999993</v>
      </c>
      <c r="U517" s="1">
        <f t="shared" si="38"/>
        <v>-11.9</v>
      </c>
      <c r="V517" s="1">
        <f t="shared" si="39"/>
        <v>11.4</v>
      </c>
      <c r="W517" s="1">
        <f t="shared" si="40"/>
        <v>10.7</v>
      </c>
      <c r="X517" s="3" t="s">
        <v>11</v>
      </c>
      <c r="Y517" s="1" t="s">
        <v>12</v>
      </c>
      <c r="Z517" s="1" t="s">
        <v>888</v>
      </c>
    </row>
    <row r="518" spans="1:26" hidden="1">
      <c r="A518" s="1" t="s">
        <v>851</v>
      </c>
      <c r="B518" s="2">
        <v>-26.3649139480999</v>
      </c>
      <c r="C518" s="2">
        <v>-48.688863739276101</v>
      </c>
      <c r="D518" s="1" t="s">
        <v>856</v>
      </c>
      <c r="E518" s="1" t="s">
        <v>857</v>
      </c>
      <c r="G518" s="1" t="s">
        <v>26</v>
      </c>
      <c r="I518" s="1" t="s">
        <v>20</v>
      </c>
      <c r="J518" s="2" t="s">
        <v>20</v>
      </c>
      <c r="K518" s="1" t="s">
        <v>27</v>
      </c>
      <c r="L518" s="3">
        <v>40.9</v>
      </c>
      <c r="M518" s="3">
        <v>13.7</v>
      </c>
      <c r="N518" s="3">
        <v>0.17</v>
      </c>
      <c r="O518" s="3">
        <v>3.5</v>
      </c>
      <c r="P518" s="6">
        <v>641.56862745098033</v>
      </c>
      <c r="Q518" s="6">
        <f t="shared" si="37"/>
        <v>184.20168067226888</v>
      </c>
      <c r="R518" s="3">
        <v>-16.8</v>
      </c>
      <c r="S518" s="3">
        <v>13.7</v>
      </c>
      <c r="T518" s="3">
        <v>11.1</v>
      </c>
      <c r="U518" s="1">
        <f t="shared" si="38"/>
        <v>-17.8</v>
      </c>
      <c r="V518" s="1">
        <f t="shared" si="39"/>
        <v>10.299999999999999</v>
      </c>
      <c r="W518" s="1">
        <f t="shared" si="40"/>
        <v>12.6</v>
      </c>
      <c r="X518" s="3" t="s">
        <v>11</v>
      </c>
      <c r="Y518" s="1" t="s">
        <v>12</v>
      </c>
      <c r="Z518" s="1" t="s">
        <v>888</v>
      </c>
    </row>
    <row r="519" spans="1:26" hidden="1">
      <c r="A519" s="1" t="s">
        <v>851</v>
      </c>
      <c r="B519" s="2">
        <v>-26.3649139480999</v>
      </c>
      <c r="C519" s="2">
        <v>-48.688863739276101</v>
      </c>
      <c r="D519" s="1" t="s">
        <v>858</v>
      </c>
      <c r="E519" s="1" t="s">
        <v>859</v>
      </c>
      <c r="G519" s="1" t="s">
        <v>26</v>
      </c>
      <c r="I519" s="1" t="s">
        <v>20</v>
      </c>
      <c r="J519" s="2" t="s">
        <v>20</v>
      </c>
      <c r="K519" s="1" t="s">
        <v>243</v>
      </c>
      <c r="L519" s="3">
        <v>41.9</v>
      </c>
      <c r="M519" s="3">
        <v>14.7</v>
      </c>
      <c r="N519" s="3">
        <v>0.22</v>
      </c>
      <c r="O519" s="3">
        <v>3.3</v>
      </c>
      <c r="P519" s="6">
        <v>507.87878787878782</v>
      </c>
      <c r="Q519" s="6">
        <f t="shared" si="37"/>
        <v>152.72727272727272</v>
      </c>
      <c r="R519" s="3">
        <v>-13</v>
      </c>
      <c r="S519" s="3">
        <v>13.5</v>
      </c>
      <c r="T519" s="3">
        <v>8.1</v>
      </c>
      <c r="U519" s="1">
        <f t="shared" si="38"/>
        <v>-14</v>
      </c>
      <c r="V519" s="1">
        <f t="shared" si="39"/>
        <v>10.1</v>
      </c>
      <c r="W519" s="1">
        <f t="shared" si="40"/>
        <v>9.6</v>
      </c>
      <c r="X519" s="3" t="s">
        <v>11</v>
      </c>
      <c r="Y519" s="1" t="s">
        <v>12</v>
      </c>
      <c r="Z519" s="1" t="s">
        <v>888</v>
      </c>
    </row>
    <row r="520" spans="1:26" hidden="1">
      <c r="A520" s="1" t="s">
        <v>851</v>
      </c>
      <c r="B520" s="2">
        <v>-26.3649139480999</v>
      </c>
      <c r="C520" s="2">
        <v>-48.688863739276101</v>
      </c>
      <c r="D520" s="1" t="s">
        <v>860</v>
      </c>
      <c r="E520" s="1" t="s">
        <v>861</v>
      </c>
      <c r="G520" s="1" t="s">
        <v>26</v>
      </c>
      <c r="I520" s="1" t="s">
        <v>20</v>
      </c>
      <c r="J520" s="2" t="s">
        <v>20</v>
      </c>
      <c r="K520" s="1" t="s">
        <v>27</v>
      </c>
      <c r="L520" s="3">
        <v>41.9</v>
      </c>
      <c r="M520" s="3">
        <v>14.8</v>
      </c>
      <c r="N520" s="3">
        <v>0.2</v>
      </c>
      <c r="O520" s="3">
        <v>3.3</v>
      </c>
      <c r="P520" s="6">
        <v>558.66666666666663</v>
      </c>
      <c r="Q520" s="6">
        <f t="shared" si="37"/>
        <v>169.14285714285714</v>
      </c>
      <c r="R520" s="3">
        <v>-10.9</v>
      </c>
      <c r="S520" s="3">
        <v>13.5</v>
      </c>
      <c r="T520" s="3">
        <v>8.3000000000000007</v>
      </c>
      <c r="U520" s="1">
        <f t="shared" si="38"/>
        <v>-11.9</v>
      </c>
      <c r="V520" s="1">
        <f t="shared" si="39"/>
        <v>10.1</v>
      </c>
      <c r="W520" s="1">
        <f t="shared" si="40"/>
        <v>9.8000000000000007</v>
      </c>
      <c r="X520" s="3" t="s">
        <v>11</v>
      </c>
      <c r="Y520" s="1" t="s">
        <v>12</v>
      </c>
      <c r="Z520" s="1" t="s">
        <v>888</v>
      </c>
    </row>
    <row r="521" spans="1:26" hidden="1">
      <c r="A521" s="1" t="s">
        <v>862</v>
      </c>
      <c r="B521" s="2">
        <v>-27.813099999999999</v>
      </c>
      <c r="C521" s="2">
        <v>-48.559800000000003</v>
      </c>
      <c r="D521" s="1" t="s">
        <v>863</v>
      </c>
      <c r="E521" s="1" t="s">
        <v>864</v>
      </c>
      <c r="G521" s="1" t="s">
        <v>26</v>
      </c>
      <c r="I521" s="1" t="s">
        <v>20</v>
      </c>
      <c r="J521" s="2" t="s">
        <v>20</v>
      </c>
      <c r="K521" s="1" t="s">
        <v>31</v>
      </c>
      <c r="L521" s="3">
        <v>39.200000000000003</v>
      </c>
      <c r="M521" s="3">
        <v>13.6</v>
      </c>
      <c r="N521" s="3">
        <v>0.2</v>
      </c>
      <c r="O521" s="3">
        <v>3.4</v>
      </c>
      <c r="P521" s="6">
        <v>522.66666666666663</v>
      </c>
      <c r="Q521" s="6">
        <f t="shared" si="37"/>
        <v>155.42857142857142</v>
      </c>
      <c r="R521" s="3">
        <v>-11.1</v>
      </c>
      <c r="S521" s="3">
        <v>17.8</v>
      </c>
      <c r="T521" s="3">
        <v>10.3</v>
      </c>
      <c r="U521" s="1">
        <f t="shared" si="38"/>
        <v>-12.1</v>
      </c>
      <c r="V521" s="1">
        <f t="shared" si="39"/>
        <v>14.4</v>
      </c>
      <c r="W521" s="1">
        <f t="shared" si="40"/>
        <v>11.8</v>
      </c>
      <c r="X521" s="3" t="s">
        <v>11</v>
      </c>
      <c r="Y521" s="1" t="s">
        <v>12</v>
      </c>
      <c r="Z521" s="1" t="s">
        <v>888</v>
      </c>
    </row>
    <row r="522" spans="1:26" hidden="1">
      <c r="A522" s="1" t="s">
        <v>862</v>
      </c>
      <c r="B522" s="2">
        <v>-27.813099999999999</v>
      </c>
      <c r="C522" s="2">
        <v>-48.559800000000003</v>
      </c>
      <c r="D522" s="1" t="s">
        <v>865</v>
      </c>
      <c r="E522" s="1" t="s">
        <v>866</v>
      </c>
      <c r="G522" s="1" t="s">
        <v>26</v>
      </c>
      <c r="I522" s="1" t="s">
        <v>20</v>
      </c>
      <c r="J522" s="2" t="s">
        <v>20</v>
      </c>
      <c r="K522" s="1" t="s">
        <v>218</v>
      </c>
      <c r="L522" s="3">
        <v>45.3</v>
      </c>
      <c r="M522" s="3">
        <v>14.9</v>
      </c>
      <c r="N522" s="3">
        <v>0.2</v>
      </c>
      <c r="O522" s="3">
        <v>3.5</v>
      </c>
      <c r="P522" s="6">
        <v>603.99999999999989</v>
      </c>
      <c r="Q522" s="6">
        <f t="shared" si="37"/>
        <v>170.28571428571428</v>
      </c>
      <c r="R522" s="3">
        <v>-11.4</v>
      </c>
      <c r="S522" s="3">
        <v>19.100000000000001</v>
      </c>
      <c r="T522" s="3">
        <v>12.5</v>
      </c>
      <c r="U522" s="1">
        <f t="shared" si="38"/>
        <v>-12.4</v>
      </c>
      <c r="V522" s="1">
        <f t="shared" si="39"/>
        <v>15.700000000000001</v>
      </c>
      <c r="W522" s="1">
        <f t="shared" si="40"/>
        <v>14</v>
      </c>
      <c r="X522" s="3" t="s">
        <v>11</v>
      </c>
      <c r="Y522" s="1" t="s">
        <v>12</v>
      </c>
      <c r="Z522" s="1" t="s">
        <v>888</v>
      </c>
    </row>
    <row r="523" spans="1:26" hidden="1">
      <c r="A523" s="1" t="s">
        <v>867</v>
      </c>
      <c r="B523" s="2">
        <v>-28.5344444444444</v>
      </c>
      <c r="C523" s="2">
        <v>-48.802222222222198</v>
      </c>
      <c r="D523" s="1" t="s">
        <v>868</v>
      </c>
      <c r="E523" s="1" t="s">
        <v>869</v>
      </c>
      <c r="G523" s="1" t="s">
        <v>26</v>
      </c>
      <c r="I523" s="1" t="s">
        <v>20</v>
      </c>
      <c r="J523" s="2" t="s">
        <v>20</v>
      </c>
      <c r="K523" s="1" t="s">
        <v>870</v>
      </c>
      <c r="L523" s="3">
        <v>43.3</v>
      </c>
      <c r="M523" s="3">
        <v>14.9</v>
      </c>
      <c r="N523" s="3">
        <v>0.2</v>
      </c>
      <c r="O523" s="3">
        <v>3.4</v>
      </c>
      <c r="P523" s="6">
        <v>577.33333333333326</v>
      </c>
      <c r="Q523" s="6">
        <f t="shared" si="37"/>
        <v>170.28571428571428</v>
      </c>
      <c r="R523" s="3">
        <v>-10.6</v>
      </c>
      <c r="S523" s="3">
        <v>18.899999999999999</v>
      </c>
      <c r="T523" s="3">
        <v>12.9</v>
      </c>
      <c r="U523" s="1">
        <f t="shared" si="38"/>
        <v>-11.6</v>
      </c>
      <c r="V523" s="1">
        <f t="shared" si="39"/>
        <v>15.499999999999998</v>
      </c>
      <c r="W523" s="1">
        <f t="shared" si="40"/>
        <v>14.4</v>
      </c>
      <c r="X523" s="3" t="s">
        <v>11</v>
      </c>
      <c r="Y523" s="1" t="s">
        <v>12</v>
      </c>
      <c r="Z523" s="1" t="s">
        <v>888</v>
      </c>
    </row>
    <row r="524" spans="1:26" hidden="1">
      <c r="A524" s="1" t="s">
        <v>871</v>
      </c>
      <c r="B524" s="2">
        <v>-22.928889000000002</v>
      </c>
      <c r="C524" s="2">
        <v>-42.485278000000001</v>
      </c>
      <c r="E524" s="1" t="s">
        <v>285</v>
      </c>
      <c r="G524" s="1" t="s">
        <v>26</v>
      </c>
      <c r="I524" s="1" t="s">
        <v>872</v>
      </c>
      <c r="J524" s="1" t="s">
        <v>33</v>
      </c>
      <c r="L524" s="1">
        <v>35.89</v>
      </c>
      <c r="M524" s="1">
        <v>12.31</v>
      </c>
      <c r="O524" s="1">
        <v>2.9</v>
      </c>
      <c r="R524" s="1">
        <v>-13.29</v>
      </c>
      <c r="S524" s="1">
        <v>16.54</v>
      </c>
    </row>
    <row r="525" spans="1:26" hidden="1">
      <c r="A525" s="1" t="s">
        <v>871</v>
      </c>
      <c r="B525" s="2">
        <v>-22.928889000000002</v>
      </c>
      <c r="C525" s="2">
        <v>-42.485278000000001</v>
      </c>
      <c r="E525" s="1" t="s">
        <v>873</v>
      </c>
      <c r="G525" s="1" t="s">
        <v>26</v>
      </c>
      <c r="I525" s="1" t="s">
        <v>874</v>
      </c>
      <c r="J525" s="1" t="s">
        <v>42</v>
      </c>
      <c r="L525" s="1">
        <v>35.369999999999997</v>
      </c>
      <c r="M525" s="1">
        <v>11.98</v>
      </c>
      <c r="O525" s="1">
        <v>3</v>
      </c>
      <c r="R525" s="1">
        <v>-15.58</v>
      </c>
      <c r="S525" s="1">
        <v>15.68</v>
      </c>
    </row>
    <row r="526" spans="1:26" hidden="1">
      <c r="A526" s="1" t="s">
        <v>871</v>
      </c>
      <c r="B526" s="2">
        <v>-22.928889000000002</v>
      </c>
      <c r="C526" s="2">
        <v>-42.485278000000001</v>
      </c>
      <c r="E526" s="1" t="s">
        <v>875</v>
      </c>
      <c r="G526" s="1" t="s">
        <v>26</v>
      </c>
      <c r="L526" s="1">
        <v>33.85</v>
      </c>
      <c r="M526" s="1">
        <v>11.38</v>
      </c>
      <c r="O526" s="1">
        <v>3</v>
      </c>
      <c r="R526" s="1">
        <v>-12.9</v>
      </c>
      <c r="S526" s="1">
        <v>15.88</v>
      </c>
    </row>
    <row r="527" spans="1:26" hidden="1">
      <c r="A527" s="1" t="s">
        <v>871</v>
      </c>
      <c r="B527" s="2">
        <v>-22.928889000000002</v>
      </c>
      <c r="C527" s="2">
        <v>-42.485278000000001</v>
      </c>
      <c r="E527" s="1" t="s">
        <v>141</v>
      </c>
      <c r="G527" s="1" t="s">
        <v>26</v>
      </c>
      <c r="I527" s="1" t="s">
        <v>876</v>
      </c>
      <c r="J527" s="1" t="s">
        <v>33</v>
      </c>
      <c r="L527" s="1">
        <v>36.43</v>
      </c>
      <c r="M527" s="1">
        <v>11.31</v>
      </c>
      <c r="O527" s="1">
        <v>3.2</v>
      </c>
      <c r="R527" s="1">
        <v>-13.74</v>
      </c>
      <c r="S527" s="1">
        <v>17.3</v>
      </c>
    </row>
    <row r="528" spans="1:26" hidden="1">
      <c r="A528" s="1" t="s">
        <v>871</v>
      </c>
      <c r="B528" s="2">
        <v>-22.928889000000002</v>
      </c>
      <c r="C528" s="2">
        <v>-42.485278000000001</v>
      </c>
      <c r="E528" s="1">
        <v>7</v>
      </c>
      <c r="G528" s="1" t="s">
        <v>26</v>
      </c>
      <c r="I528" s="1" t="s">
        <v>874</v>
      </c>
      <c r="J528" s="1" t="s">
        <v>42</v>
      </c>
      <c r="L528" s="1">
        <v>34.07</v>
      </c>
      <c r="M528" s="1">
        <v>11.37</v>
      </c>
      <c r="O528" s="1">
        <v>3</v>
      </c>
      <c r="R528" s="1">
        <v>-12.01</v>
      </c>
      <c r="S528" s="1">
        <v>15.27</v>
      </c>
    </row>
    <row r="529" spans="1:26" hidden="1">
      <c r="A529" s="1" t="s">
        <v>871</v>
      </c>
      <c r="B529" s="2">
        <v>-22.928889000000002</v>
      </c>
      <c r="C529" s="2">
        <v>-42.485278000000001</v>
      </c>
      <c r="E529" s="1">
        <v>10</v>
      </c>
      <c r="G529" s="1" t="s">
        <v>26</v>
      </c>
      <c r="I529" s="1" t="s">
        <v>872</v>
      </c>
      <c r="J529" s="1" t="s">
        <v>33</v>
      </c>
      <c r="L529" s="1">
        <v>34.69</v>
      </c>
      <c r="M529" s="1">
        <v>12.04</v>
      </c>
      <c r="O529" s="1">
        <v>2.9</v>
      </c>
      <c r="R529" s="1">
        <v>-12.12</v>
      </c>
      <c r="S529" s="1">
        <v>16.38</v>
      </c>
    </row>
    <row r="530" spans="1:26" hidden="1">
      <c r="A530" s="1" t="s">
        <v>871</v>
      </c>
      <c r="B530" s="2">
        <v>-22.928889000000002</v>
      </c>
      <c r="C530" s="2">
        <v>-42.485278000000001</v>
      </c>
      <c r="E530" s="1">
        <v>11</v>
      </c>
      <c r="G530" s="1" t="s">
        <v>26</v>
      </c>
      <c r="I530" s="1" t="s">
        <v>877</v>
      </c>
      <c r="J530" s="1" t="s">
        <v>33</v>
      </c>
      <c r="L530" s="1">
        <v>40.270000000000003</v>
      </c>
      <c r="M530" s="1">
        <v>13.35</v>
      </c>
      <c r="O530" s="1">
        <v>3</v>
      </c>
      <c r="R530" s="1">
        <v>-12.46</v>
      </c>
      <c r="S530" s="1">
        <v>17.11</v>
      </c>
    </row>
    <row r="531" spans="1:26" hidden="1">
      <c r="A531" s="1" t="s">
        <v>871</v>
      </c>
      <c r="B531" s="2">
        <v>-22.928889000000002</v>
      </c>
      <c r="C531" s="2">
        <v>-42.485278000000001</v>
      </c>
      <c r="E531" s="1">
        <v>20</v>
      </c>
      <c r="G531" s="1" t="s">
        <v>26</v>
      </c>
      <c r="I531" s="1" t="s">
        <v>878</v>
      </c>
      <c r="J531" s="1" t="s">
        <v>42</v>
      </c>
      <c r="L531" s="1">
        <v>31.62</v>
      </c>
      <c r="M531" s="1">
        <v>10.53</v>
      </c>
      <c r="O531" s="1">
        <v>3</v>
      </c>
      <c r="R531" s="1">
        <v>-12.48</v>
      </c>
      <c r="S531" s="1">
        <v>15.05</v>
      </c>
    </row>
    <row r="532" spans="1:26" hidden="1">
      <c r="A532" s="1" t="s">
        <v>871</v>
      </c>
      <c r="B532" s="2">
        <v>-22.928889000000002</v>
      </c>
      <c r="C532" s="2">
        <v>-42.485278000000001</v>
      </c>
      <c r="E532" s="1">
        <v>22</v>
      </c>
      <c r="G532" s="1" t="s">
        <v>26</v>
      </c>
      <c r="I532" s="1" t="s">
        <v>879</v>
      </c>
      <c r="J532" s="1" t="s">
        <v>33</v>
      </c>
      <c r="L532" s="1">
        <v>33.82</v>
      </c>
      <c r="M532" s="1">
        <v>11.62</v>
      </c>
      <c r="O532" s="1">
        <v>2.9</v>
      </c>
      <c r="R532" s="1">
        <v>-10.68</v>
      </c>
      <c r="S532" s="1">
        <v>15.94</v>
      </c>
    </row>
    <row r="533" spans="1:26" hidden="1">
      <c r="A533" s="1" t="s">
        <v>871</v>
      </c>
      <c r="B533" s="2">
        <v>-22.928889000000002</v>
      </c>
      <c r="C533" s="2">
        <v>-42.485278000000001</v>
      </c>
      <c r="E533" s="1">
        <v>23</v>
      </c>
      <c r="G533" s="1" t="s">
        <v>26</v>
      </c>
      <c r="I533" s="1" t="s">
        <v>879</v>
      </c>
      <c r="J533" s="1" t="s">
        <v>42</v>
      </c>
      <c r="L533" s="1">
        <v>35.17</v>
      </c>
      <c r="M533" s="1">
        <v>11.73</v>
      </c>
      <c r="O533" s="1">
        <v>3</v>
      </c>
      <c r="R533" s="1">
        <v>-12.98</v>
      </c>
      <c r="S533" s="1">
        <v>16.850000000000001</v>
      </c>
    </row>
    <row r="534" spans="1:26" hidden="1">
      <c r="A534" s="1" t="s">
        <v>871</v>
      </c>
      <c r="B534" s="2">
        <v>-22.928889000000002</v>
      </c>
      <c r="C534" s="2">
        <v>-42.485278000000001</v>
      </c>
      <c r="E534" s="1">
        <v>26</v>
      </c>
      <c r="G534" s="1" t="s">
        <v>26</v>
      </c>
      <c r="I534" s="1" t="s">
        <v>879</v>
      </c>
      <c r="J534" s="1" t="s">
        <v>42</v>
      </c>
      <c r="L534" s="1">
        <v>37.72</v>
      </c>
      <c r="M534" s="1">
        <v>12.74</v>
      </c>
      <c r="O534" s="1">
        <v>3</v>
      </c>
      <c r="R534" s="1">
        <v>-12.88</v>
      </c>
      <c r="S534" s="1">
        <v>16.850000000000001</v>
      </c>
    </row>
    <row r="535" spans="1:26" hidden="1">
      <c r="A535" s="1" t="s">
        <v>880</v>
      </c>
      <c r="B535" s="2">
        <v>-22.972588999999999</v>
      </c>
      <c r="C535" s="2">
        <v>-43.620731999999997</v>
      </c>
      <c r="E535" s="1">
        <v>2059</v>
      </c>
      <c r="G535" s="1" t="s">
        <v>26</v>
      </c>
      <c r="I535" s="1" t="s">
        <v>41</v>
      </c>
      <c r="J535" s="2" t="s">
        <v>20</v>
      </c>
      <c r="K535" s="1" t="s">
        <v>90</v>
      </c>
      <c r="L535" s="1" t="s">
        <v>881</v>
      </c>
      <c r="M535" s="1" t="s">
        <v>882</v>
      </c>
      <c r="O535" s="1">
        <v>3.3</v>
      </c>
      <c r="R535" s="1">
        <v>-13.8</v>
      </c>
      <c r="S535" s="1">
        <v>13.9</v>
      </c>
    </row>
    <row r="536" spans="1:26" hidden="1">
      <c r="A536" s="1" t="s">
        <v>4</v>
      </c>
      <c r="B536" s="2">
        <v>-26.4029605539111</v>
      </c>
      <c r="C536" s="2">
        <v>-48.861588379248701</v>
      </c>
      <c r="D536" s="1" t="s">
        <v>891</v>
      </c>
      <c r="E536" s="13" t="s">
        <v>892</v>
      </c>
      <c r="F536" s="2"/>
      <c r="G536" s="1" t="s">
        <v>215</v>
      </c>
      <c r="I536" s="2" t="s">
        <v>20</v>
      </c>
      <c r="J536" s="2" t="s">
        <v>20</v>
      </c>
      <c r="L536" s="14">
        <v>16.5</v>
      </c>
      <c r="M536" s="14">
        <v>5.7</v>
      </c>
      <c r="N536" s="14">
        <v>0.09</v>
      </c>
      <c r="O536" s="14">
        <v>3.4</v>
      </c>
      <c r="P536" s="6">
        <v>334.54545454545456</v>
      </c>
      <c r="Q536" s="6">
        <f t="shared" ref="Q536" si="41">M536/N536*32/14</f>
        <v>144.76190476190476</v>
      </c>
      <c r="R536" s="14">
        <v>-22.6</v>
      </c>
      <c r="S536" s="14">
        <v>13.4</v>
      </c>
      <c r="T536" s="14">
        <v>10.199999999999999</v>
      </c>
      <c r="U536" s="1">
        <f t="shared" ref="U536" si="42">S536-3.4</f>
        <v>10</v>
      </c>
      <c r="V536" s="1">
        <f t="shared" ref="V536" si="43">R536-1</f>
        <v>-23.6</v>
      </c>
      <c r="W536" s="1">
        <f t="shared" ref="W536" si="44">T536+1.5</f>
        <v>11.7</v>
      </c>
      <c r="X536" s="3" t="s">
        <v>11</v>
      </c>
      <c r="Y536" s="1" t="s">
        <v>12</v>
      </c>
      <c r="Z536" s="1" t="s">
        <v>888</v>
      </c>
    </row>
  </sheetData>
  <autoFilter ref="A1:AJ536" xr:uid="{39B828BD-226E-49B3-837E-DC1D1F77F0D8}">
    <filterColumn colId="0">
      <filters>
        <filter val="Jabuticabeira II"/>
        <filter val="Moraes"/>
        <filter val="Morro do Ouro"/>
        <filter val="Piaçaguera"/>
      </filters>
    </filterColumn>
  </autoFilter>
  <conditionalFormatting sqref="L469:L471">
    <cfRule type="cellIs" dxfId="3" priority="1" stopIfTrue="1" operator="lessThan">
      <formula>13</formula>
    </cfRule>
  </conditionalFormatting>
  <conditionalFormatting sqref="L473">
    <cfRule type="cellIs" dxfId="2" priority="3" stopIfTrue="1" operator="lessThan">
      <formula>13</formula>
    </cfRule>
  </conditionalFormatting>
  <conditionalFormatting sqref="M469:M471">
    <cfRule type="cellIs" dxfId="1" priority="2" stopIfTrue="1" operator="lessThan">
      <formula>5</formula>
    </cfRule>
  </conditionalFormatting>
  <conditionalFormatting sqref="M473">
    <cfRule type="cellIs" dxfId="0" priority="4" stopIfTrue="1" operator="less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Carlo Colonese</dc:creator>
  <cp:lastModifiedBy>Oliver Craig</cp:lastModifiedBy>
  <dcterms:created xsi:type="dcterms:W3CDTF">2015-06-05T18:17:20Z</dcterms:created>
  <dcterms:modified xsi:type="dcterms:W3CDTF">2026-07-06T19:43:16Z</dcterms:modified>
</cp:coreProperties>
</file>